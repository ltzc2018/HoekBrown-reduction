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esktop\计算公式表\"/>
    </mc:Choice>
  </mc:AlternateContent>
  <xr:revisionPtr revIDLastSave="0" documentId="13_ncr:1_{788D2E72-807B-4F85-9A25-EEB6E4DEEE9B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H-B折减" sheetId="2" r:id="rId1"/>
    <sheet name="Sheet4" sheetId="5" r:id="rId2"/>
    <sheet name="Sheet1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6" l="1"/>
  <c r="K22" i="6"/>
  <c r="K20" i="6"/>
  <c r="L20" i="6"/>
  <c r="H22" i="6"/>
  <c r="I22" i="6"/>
  <c r="H19" i="6"/>
  <c r="I19" i="6"/>
  <c r="H20" i="6"/>
  <c r="I20" i="6"/>
  <c r="H21" i="6"/>
  <c r="I21" i="6"/>
  <c r="I15" i="6"/>
  <c r="I16" i="6"/>
  <c r="I17" i="6"/>
  <c r="I18" i="6"/>
  <c r="I14" i="6"/>
  <c r="H15" i="6"/>
  <c r="H16" i="6"/>
  <c r="H17" i="6"/>
  <c r="H18" i="6"/>
  <c r="H14" i="6"/>
  <c r="I4" i="5"/>
  <c r="J4" i="5"/>
  <c r="K4" i="5"/>
  <c r="L4" i="5"/>
  <c r="M4" i="5"/>
  <c r="N4" i="5"/>
  <c r="O4" i="5"/>
  <c r="S4" i="5"/>
  <c r="P4" i="5" s="1"/>
  <c r="T4" i="5"/>
  <c r="U4" i="5"/>
  <c r="V4" i="5"/>
  <c r="Z4" i="5"/>
  <c r="I5" i="5"/>
  <c r="M5" i="5" s="1"/>
  <c r="J5" i="5"/>
  <c r="K5" i="5"/>
  <c r="L5" i="5"/>
  <c r="N5" i="5"/>
  <c r="T5" i="5"/>
  <c r="U5" i="5"/>
  <c r="V5" i="5"/>
  <c r="Z5" i="5"/>
  <c r="Z3" i="5"/>
  <c r="V3" i="5"/>
  <c r="U3" i="5"/>
  <c r="T3" i="5"/>
  <c r="L3" i="5"/>
  <c r="K3" i="5"/>
  <c r="J3" i="5"/>
  <c r="I3" i="5"/>
  <c r="T9" i="2"/>
  <c r="U9" i="2"/>
  <c r="V9" i="2"/>
  <c r="Z9" i="2"/>
  <c r="T10" i="2"/>
  <c r="U10" i="2"/>
  <c r="V10" i="2"/>
  <c r="Z10" i="2"/>
  <c r="I10" i="2"/>
  <c r="J10" i="2"/>
  <c r="M10" i="2" s="1"/>
  <c r="L10" i="2"/>
  <c r="I9" i="2"/>
  <c r="J9" i="2"/>
  <c r="M9" i="2" s="1"/>
  <c r="L9" i="2"/>
  <c r="K10" i="2"/>
  <c r="K9" i="2"/>
  <c r="V4" i="2"/>
  <c r="V5" i="2"/>
  <c r="V6" i="2"/>
  <c r="V7" i="2"/>
  <c r="V8" i="2"/>
  <c r="V3" i="2"/>
  <c r="U3" i="2"/>
  <c r="U4" i="2"/>
  <c r="U5" i="2"/>
  <c r="U6" i="2"/>
  <c r="U7" i="2"/>
  <c r="U8" i="2"/>
  <c r="T3" i="2"/>
  <c r="T4" i="2"/>
  <c r="T5" i="2"/>
  <c r="T6" i="2"/>
  <c r="T7" i="2"/>
  <c r="T8" i="2"/>
  <c r="I5" i="2"/>
  <c r="J5" i="2"/>
  <c r="K5" i="2"/>
  <c r="L5" i="2"/>
  <c r="I6" i="2"/>
  <c r="J6" i="2"/>
  <c r="K6" i="2"/>
  <c r="L6" i="2"/>
  <c r="I7" i="2"/>
  <c r="J7" i="2"/>
  <c r="K7" i="2"/>
  <c r="L7" i="2"/>
  <c r="I8" i="2"/>
  <c r="J8" i="2"/>
  <c r="K8" i="2"/>
  <c r="L8" i="2"/>
  <c r="I4" i="2"/>
  <c r="J4" i="2"/>
  <c r="K4" i="2"/>
  <c r="L4" i="2"/>
  <c r="O9" i="2" l="1"/>
  <c r="S9" i="2" s="1"/>
  <c r="P9" i="2" s="1"/>
  <c r="N9" i="2"/>
  <c r="Q4" i="5"/>
  <c r="R4" i="5"/>
  <c r="O5" i="5"/>
  <c r="S5" i="5" s="1"/>
  <c r="P5" i="5" s="1"/>
  <c r="R5" i="5" s="1"/>
  <c r="O3" i="5"/>
  <c r="S3" i="5" s="1"/>
  <c r="P3" i="5" s="1"/>
  <c r="R3" i="5" s="1"/>
  <c r="N3" i="5"/>
  <c r="M3" i="5"/>
  <c r="Q9" i="2"/>
  <c r="R9" i="2"/>
  <c r="O10" i="2"/>
  <c r="S10" i="2" s="1"/>
  <c r="P10" i="2" s="1"/>
  <c r="Q10" i="2" s="1"/>
  <c r="N10" i="2"/>
  <c r="M7" i="2"/>
  <c r="O8" i="2"/>
  <c r="S8" i="2" s="1"/>
  <c r="P8" i="2" s="1"/>
  <c r="Q8" i="2" s="1"/>
  <c r="N6" i="2"/>
  <c r="M8" i="2"/>
  <c r="M6" i="2"/>
  <c r="M5" i="2"/>
  <c r="N8" i="2"/>
  <c r="O5" i="2"/>
  <c r="S5" i="2" s="1"/>
  <c r="P5" i="2" s="1"/>
  <c r="Q5" i="2" s="1"/>
  <c r="O6" i="2"/>
  <c r="S6" i="2" s="1"/>
  <c r="P6" i="2" s="1"/>
  <c r="R6" i="2" s="1"/>
  <c r="N7" i="2"/>
  <c r="N5" i="2"/>
  <c r="O7" i="2"/>
  <c r="S7" i="2" s="1"/>
  <c r="P7" i="2" s="1"/>
  <c r="Q7" i="2" s="1"/>
  <c r="M4" i="2"/>
  <c r="N4" i="2"/>
  <c r="O4" i="2"/>
  <c r="S4" i="2" s="1"/>
  <c r="P4" i="2" s="1"/>
  <c r="R4" i="2" s="1"/>
  <c r="Z99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3" i="2"/>
  <c r="Z4" i="2"/>
  <c r="Z5" i="2"/>
  <c r="Z6" i="2"/>
  <c r="Z7" i="2"/>
  <c r="Z8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L3" i="2"/>
  <c r="K3" i="2"/>
  <c r="J3" i="2"/>
  <c r="I3" i="2"/>
  <c r="R10" i="2" l="1"/>
  <c r="Q5" i="5"/>
  <c r="Q3" i="5"/>
  <c r="R8" i="2"/>
  <c r="O3" i="2"/>
  <c r="S3" i="2" s="1"/>
  <c r="P3" i="2" s="1"/>
  <c r="Q3" i="2" s="1"/>
  <c r="R5" i="2"/>
  <c r="Q6" i="2"/>
  <c r="R7" i="2"/>
  <c r="Q4" i="2"/>
  <c r="M3" i="2"/>
  <c r="N3" i="2"/>
  <c r="R3" i="2" l="1"/>
</calcChain>
</file>

<file path=xl/sharedStrings.xml><?xml version="1.0" encoding="utf-8"?>
<sst xmlns="http://schemas.openxmlformats.org/spreadsheetml/2006/main" count="65" uniqueCount="39">
  <si>
    <t>输入参数</t>
    <phoneticPr fontId="1" type="noConversion"/>
  </si>
  <si>
    <t>GSI</t>
    <phoneticPr fontId="1" type="noConversion"/>
  </si>
  <si>
    <t>mi</t>
    <phoneticPr fontId="1" type="noConversion"/>
  </si>
  <si>
    <t>D</t>
    <phoneticPr fontId="1" type="noConversion"/>
  </si>
  <si>
    <t>输出结果</t>
    <phoneticPr fontId="1" type="noConversion"/>
  </si>
  <si>
    <t>mb</t>
    <phoneticPr fontId="1" type="noConversion"/>
  </si>
  <si>
    <t>s</t>
    <phoneticPr fontId="1" type="noConversion"/>
  </si>
  <si>
    <t>a</t>
    <phoneticPr fontId="1" type="noConversion"/>
  </si>
  <si>
    <t>mPa</t>
    <phoneticPr fontId="1" type="noConversion"/>
  </si>
  <si>
    <t>单位、取值范围</t>
    <phoneticPr fontId="1" type="noConversion"/>
  </si>
  <si>
    <t>H</t>
    <phoneticPr fontId="1" type="noConversion"/>
  </si>
  <si>
    <t>°</t>
    <phoneticPr fontId="1" type="noConversion"/>
  </si>
  <si>
    <t>mn/m3</t>
    <phoneticPr fontId="1" type="noConversion"/>
  </si>
  <si>
    <t>m</t>
    <phoneticPr fontId="1" type="noConversion"/>
  </si>
  <si>
    <t>0~1</t>
    <phoneticPr fontId="1" type="noConversion"/>
  </si>
  <si>
    <t>Em2</t>
    <phoneticPr fontId="1" type="noConversion"/>
  </si>
  <si>
    <t>Em3</t>
    <phoneticPr fontId="1" type="noConversion"/>
  </si>
  <si>
    <t>Em4</t>
    <phoneticPr fontId="1" type="noConversion"/>
  </si>
  <si>
    <t>Ei</t>
    <phoneticPr fontId="1" type="noConversion"/>
  </si>
  <si>
    <t>MR</t>
    <phoneticPr fontId="1" type="noConversion"/>
  </si>
  <si>
    <t>方法4</t>
    <phoneticPr fontId="1" type="noConversion"/>
  </si>
  <si>
    <t>方法2</t>
    <phoneticPr fontId="1" type="noConversion"/>
  </si>
  <si>
    <t>方法1</t>
    <phoneticPr fontId="1" type="noConversion"/>
  </si>
  <si>
    <t>方法3</t>
    <phoneticPr fontId="1" type="noConversion"/>
  </si>
  <si>
    <t>CR</t>
    <phoneticPr fontId="1" type="noConversion"/>
  </si>
  <si>
    <t>L</t>
    <phoneticPr fontId="1" type="noConversion"/>
  </si>
  <si>
    <t>φi</t>
    <phoneticPr fontId="1" type="noConversion"/>
  </si>
  <si>
    <t>Iφ</t>
    <phoneticPr fontId="1" type="noConversion"/>
  </si>
  <si>
    <t>φm</t>
    <phoneticPr fontId="1" type="noConversion"/>
  </si>
  <si>
    <t>Cm</t>
    <phoneticPr fontId="1" type="noConversion"/>
  </si>
  <si>
    <t>强风化石英砂岩</t>
  </si>
  <si>
    <t>中风化石英砂岩</t>
  </si>
  <si>
    <t>中风化粉砂岩</t>
  </si>
  <si>
    <t>强风化花岗混合岩</t>
  </si>
  <si>
    <t>中风化花岗混合岩</t>
  </si>
  <si>
    <t>i</t>
    <phoneticPr fontId="1" type="noConversion"/>
  </si>
  <si>
    <t>cm2</t>
    <phoneticPr fontId="1" type="noConversion"/>
  </si>
  <si>
    <t>费辛柯</t>
    <phoneticPr fontId="1" type="noConversion"/>
  </si>
  <si>
    <t>吉格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</si>
</sst>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_);[Red]\(0.000\)"/>
    <numFmt numFmtId="178" formatCode="0.0000_);[Red]\(0.0000\)"/>
    <numFmt numFmtId="179" formatCode="0.000000_);[Red]\(0.0000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color theme="1"/>
      <name val="Times New Roman"/>
      <family val="1"/>
    </font>
    <font>
      <sz val="11"/>
      <name val="等线"/>
      <family val="2"/>
      <scheme val="minor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/>
    <xf numFmtId="178" fontId="0" fillId="0" borderId="0" xfId="0" applyNumberFormat="1" applyAlignment="1">
      <alignment horizontal="center" vertical="center"/>
    </xf>
    <xf numFmtId="178" fontId="0" fillId="0" borderId="0" xfId="0" applyNumberFormat="1"/>
    <xf numFmtId="179" fontId="0" fillId="0" borderId="0" xfId="0" applyNumberFormat="1" applyAlignment="1">
      <alignment horizontal="center" vertical="center"/>
    </xf>
    <xf numFmtId="179" fontId="0" fillId="0" borderId="0" xfId="0" applyNumberFormat="1"/>
    <xf numFmtId="176" fontId="2" fillId="0" borderId="0" xfId="0" applyNumberFormat="1" applyFont="1"/>
    <xf numFmtId="177" fontId="2" fillId="0" borderId="0" xfId="0" applyNumberFormat="1" applyFont="1" applyAlignment="1">
      <alignment horizontal="center" vertical="center"/>
    </xf>
    <xf numFmtId="177" fontId="2" fillId="0" borderId="0" xfId="0" applyNumberFormat="1" applyFont="1"/>
    <xf numFmtId="2" fontId="2" fillId="0" borderId="0" xfId="0" applyNumberFormat="1" applyFont="1"/>
    <xf numFmtId="177" fontId="4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/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岩土强度分析</a:t>
            </a:r>
          </a:p>
        </c:rich>
      </c:tx>
      <c:layout>
        <c:manualLayout>
          <c:xMode val="edge"/>
          <c:yMode val="edge"/>
          <c:x val="0.28075648630332251"/>
          <c:y val="1.5128761995239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7429953053773604"/>
          <c:y val="7.3686600845632277E-2"/>
          <c:w val="0.58170014589928309"/>
          <c:h val="0.81235987095880757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'H-B折减'!$Y$3:$Y$99</c:f>
              <c:numCache>
                <c:formatCode>General</c:formatCode>
                <c:ptCount val="97"/>
                <c:pt idx="0">
                  <c:v>2.5000000000000001E-3</c:v>
                </c:pt>
                <c:pt idx="1">
                  <c:v>7.4999999999999997E-3</c:v>
                </c:pt>
                <c:pt idx="2">
                  <c:v>1.7500000000000002E-2</c:v>
                </c:pt>
                <c:pt idx="3">
                  <c:v>2.2500000000000003E-2</c:v>
                </c:pt>
                <c:pt idx="4">
                  <c:v>3.2500000000000001E-2</c:v>
                </c:pt>
                <c:pt idx="5">
                  <c:v>3.7499999999999999E-2</c:v>
                </c:pt>
                <c:pt idx="6">
                  <c:v>3.7499999999999999E-2</c:v>
                </c:pt>
                <c:pt idx="7">
                  <c:v>3.7499999999999999E-2</c:v>
                </c:pt>
                <c:pt idx="10">
                  <c:v>4.2499999999999996E-2</c:v>
                </c:pt>
                <c:pt idx="11">
                  <c:v>4.7500000000000001E-2</c:v>
                </c:pt>
                <c:pt idx="12">
                  <c:v>5.2499999999999998E-2</c:v>
                </c:pt>
                <c:pt idx="13">
                  <c:v>5.7499999999999996E-2</c:v>
                </c:pt>
                <c:pt idx="14">
                  <c:v>6.25E-2</c:v>
                </c:pt>
                <c:pt idx="15">
                  <c:v>6.7500000000000004E-2</c:v>
                </c:pt>
                <c:pt idx="16">
                  <c:v>7.2499999999999995E-2</c:v>
                </c:pt>
                <c:pt idx="17">
                  <c:v>7.7499999999999999E-2</c:v>
                </c:pt>
                <c:pt idx="18">
                  <c:v>8.2500000000000004E-2</c:v>
                </c:pt>
                <c:pt idx="19">
                  <c:v>8.7499999999999994E-2</c:v>
                </c:pt>
                <c:pt idx="20">
                  <c:v>9.2499999999999999E-2</c:v>
                </c:pt>
                <c:pt idx="21">
                  <c:v>9.7500000000000003E-2</c:v>
                </c:pt>
                <c:pt idx="22">
                  <c:v>0.10249999999999999</c:v>
                </c:pt>
                <c:pt idx="23">
                  <c:v>0.1075</c:v>
                </c:pt>
                <c:pt idx="24">
                  <c:v>0.1125</c:v>
                </c:pt>
                <c:pt idx="25">
                  <c:v>0.11749999999999999</c:v>
                </c:pt>
                <c:pt idx="26">
                  <c:v>0.1225</c:v>
                </c:pt>
                <c:pt idx="27">
                  <c:v>0.1275</c:v>
                </c:pt>
                <c:pt idx="28">
                  <c:v>0.13250000000000001</c:v>
                </c:pt>
                <c:pt idx="29">
                  <c:v>0.13750000000000001</c:v>
                </c:pt>
                <c:pt idx="30">
                  <c:v>0.14249999999999999</c:v>
                </c:pt>
                <c:pt idx="31">
                  <c:v>0.14749999999999999</c:v>
                </c:pt>
                <c:pt idx="32">
                  <c:v>0.1525</c:v>
                </c:pt>
                <c:pt idx="33">
                  <c:v>0.1575</c:v>
                </c:pt>
                <c:pt idx="34">
                  <c:v>0.16250000000000001</c:v>
                </c:pt>
                <c:pt idx="35">
                  <c:v>0.16750000000000001</c:v>
                </c:pt>
                <c:pt idx="36">
                  <c:v>0.17250000000000001</c:v>
                </c:pt>
                <c:pt idx="37">
                  <c:v>0.17749999999999999</c:v>
                </c:pt>
                <c:pt idx="38">
                  <c:v>0.1825</c:v>
                </c:pt>
                <c:pt idx="39">
                  <c:v>0.1875</c:v>
                </c:pt>
                <c:pt idx="40">
                  <c:v>0.1925</c:v>
                </c:pt>
                <c:pt idx="41">
                  <c:v>0.19750000000000001</c:v>
                </c:pt>
                <c:pt idx="42">
                  <c:v>0.20250000000000001</c:v>
                </c:pt>
                <c:pt idx="43">
                  <c:v>0.20749999999999999</c:v>
                </c:pt>
                <c:pt idx="44">
                  <c:v>0.21249999999999999</c:v>
                </c:pt>
                <c:pt idx="45">
                  <c:v>0.2175</c:v>
                </c:pt>
                <c:pt idx="46">
                  <c:v>0.2225</c:v>
                </c:pt>
                <c:pt idx="47">
                  <c:v>0.22750000000000001</c:v>
                </c:pt>
                <c:pt idx="48">
                  <c:v>0.23250000000000001</c:v>
                </c:pt>
                <c:pt idx="49">
                  <c:v>0.23749999999999999</c:v>
                </c:pt>
                <c:pt idx="50">
                  <c:v>0.24249999999999999</c:v>
                </c:pt>
                <c:pt idx="51">
                  <c:v>0.2475</c:v>
                </c:pt>
                <c:pt idx="52">
                  <c:v>0.2525</c:v>
                </c:pt>
                <c:pt idx="53">
                  <c:v>0.25750000000000001</c:v>
                </c:pt>
                <c:pt idx="54">
                  <c:v>0.26250000000000001</c:v>
                </c:pt>
                <c:pt idx="55">
                  <c:v>0.26750000000000002</c:v>
                </c:pt>
                <c:pt idx="56">
                  <c:v>0.27250000000000002</c:v>
                </c:pt>
                <c:pt idx="57">
                  <c:v>0.27750000000000002</c:v>
                </c:pt>
                <c:pt idx="58">
                  <c:v>0.28250000000000003</c:v>
                </c:pt>
                <c:pt idx="59">
                  <c:v>0.28749999999999998</c:v>
                </c:pt>
                <c:pt idx="60">
                  <c:v>0.29249999999999998</c:v>
                </c:pt>
                <c:pt idx="61">
                  <c:v>0.29749999999999999</c:v>
                </c:pt>
                <c:pt idx="62">
                  <c:v>0.30249999999999999</c:v>
                </c:pt>
                <c:pt idx="63">
                  <c:v>0.3075</c:v>
                </c:pt>
                <c:pt idx="64">
                  <c:v>0.3125</c:v>
                </c:pt>
                <c:pt idx="65">
                  <c:v>0.3175</c:v>
                </c:pt>
                <c:pt idx="66">
                  <c:v>0.32250000000000001</c:v>
                </c:pt>
                <c:pt idx="67">
                  <c:v>0.32750000000000001</c:v>
                </c:pt>
                <c:pt idx="68">
                  <c:v>0.33250000000000002</c:v>
                </c:pt>
                <c:pt idx="69">
                  <c:v>0.33750000000000002</c:v>
                </c:pt>
                <c:pt idx="70">
                  <c:v>0.34250000000000003</c:v>
                </c:pt>
                <c:pt idx="71">
                  <c:v>0.34750000000000003</c:v>
                </c:pt>
                <c:pt idx="72">
                  <c:v>0.35249999999999998</c:v>
                </c:pt>
                <c:pt idx="73">
                  <c:v>0.35749999999999998</c:v>
                </c:pt>
                <c:pt idx="74">
                  <c:v>0.36249999999999999</c:v>
                </c:pt>
                <c:pt idx="75">
                  <c:v>0.36749999999999999</c:v>
                </c:pt>
                <c:pt idx="76">
                  <c:v>0.3725</c:v>
                </c:pt>
                <c:pt idx="77">
                  <c:v>0.3775</c:v>
                </c:pt>
                <c:pt idx="78">
                  <c:v>0.38250000000000001</c:v>
                </c:pt>
                <c:pt idx="79">
                  <c:v>0.38750000000000001</c:v>
                </c:pt>
                <c:pt idx="80">
                  <c:v>0.39250000000000002</c:v>
                </c:pt>
                <c:pt idx="81">
                  <c:v>0.39750000000000002</c:v>
                </c:pt>
                <c:pt idx="82">
                  <c:v>0.40250000000000002</c:v>
                </c:pt>
                <c:pt idx="83">
                  <c:v>0.40750000000000003</c:v>
                </c:pt>
                <c:pt idx="84">
                  <c:v>0.41250000000000003</c:v>
                </c:pt>
                <c:pt idx="85">
                  <c:v>0.41749999999999998</c:v>
                </c:pt>
                <c:pt idx="86">
                  <c:v>0.42249999999999999</c:v>
                </c:pt>
                <c:pt idx="87">
                  <c:v>0.42749999999999999</c:v>
                </c:pt>
                <c:pt idx="88">
                  <c:v>0.4325</c:v>
                </c:pt>
                <c:pt idx="89">
                  <c:v>0.4375</c:v>
                </c:pt>
                <c:pt idx="90">
                  <c:v>0.4425</c:v>
                </c:pt>
                <c:pt idx="91">
                  <c:v>0.44750000000000001</c:v>
                </c:pt>
                <c:pt idx="92">
                  <c:v>0.45250000000000001</c:v>
                </c:pt>
                <c:pt idx="93">
                  <c:v>0.45750000000000002</c:v>
                </c:pt>
                <c:pt idx="94">
                  <c:v>0.46250000000000002</c:v>
                </c:pt>
                <c:pt idx="95">
                  <c:v>0.46750000000000003</c:v>
                </c:pt>
                <c:pt idx="96">
                  <c:v>0.47250000000000003</c:v>
                </c:pt>
              </c:numCache>
            </c:numRef>
          </c:cat>
          <c:val>
            <c:numRef>
              <c:f>'H-B折减'!$Z$3:$Z$99</c:f>
              <c:numCache>
                <c:formatCode>General</c:formatCode>
                <c:ptCount val="97"/>
                <c:pt idx="0">
                  <c:v>0.1676082727644779</c:v>
                </c:pt>
                <c:pt idx="1">
                  <c:v>0.29695282685585644</c:v>
                </c:pt>
                <c:pt idx="2">
                  <c:v>0.46378668787335753</c:v>
                </c:pt>
                <c:pt idx="3">
                  <c:v>0.52994240474467502</c:v>
                </c:pt>
                <c:pt idx="4">
                  <c:v>0.6448417728051532</c:v>
                </c:pt>
                <c:pt idx="5">
                  <c:v>0.6962967796147872</c:v>
                </c:pt>
                <c:pt idx="6">
                  <c:v>0.6962967796147872</c:v>
                </c:pt>
                <c:pt idx="7">
                  <c:v>0.6962967796147872</c:v>
                </c:pt>
                <c:pt idx="10">
                  <c:v>0.74480899856910421</c:v>
                </c:pt>
                <c:pt idx="11">
                  <c:v>0.79088180012551923</c:v>
                </c:pt>
                <c:pt idx="12">
                  <c:v>0.83488928449909006</c:v>
                </c:pt>
                <c:pt idx="13">
                  <c:v>0.87711851107508632</c:v>
                </c:pt>
                <c:pt idx="14">
                  <c:v>0.91779548333508509</c:v>
                </c:pt>
                <c:pt idx="15">
                  <c:v>0.95710193248100117</c:v>
                </c:pt>
                <c:pt idx="16">
                  <c:v>0.99518659493425587</c:v>
                </c:pt>
                <c:pt idx="17">
                  <c:v>1.0321730432393428</c:v>
                </c:pt>
                <c:pt idx="18">
                  <c:v>1.0681652768717658</c:v>
                </c:pt>
                <c:pt idx="19">
                  <c:v>1.1032518098875972</c:v>
                </c:pt>
                <c:pt idx="20">
                  <c:v>1.1375087218481235</c:v>
                </c:pt>
                <c:pt idx="21">
                  <c:v>1.1710019764467625</c:v>
                </c:pt>
                <c:pt idx="22">
                  <c:v>1.2037892119207143</c:v>
                </c:pt>
                <c:pt idx="23">
                  <c:v>1.2359211433229431</c:v>
                </c:pt>
                <c:pt idx="24">
                  <c:v>1.2674426748291974</c:v>
                </c:pt>
                <c:pt idx="25">
                  <c:v>1.2983937921851869</c:v>
                </c:pt>
                <c:pt idx="26">
                  <c:v>1.3288102862028246</c:v>
                </c:pt>
                <c:pt idx="27">
                  <c:v>1.3587243448401487</c:v>
                </c:pt>
                <c:pt idx="28">
                  <c:v>1.3881650419232399</c:v>
                </c:pt>
                <c:pt idx="29">
                  <c:v>1.4171587437503699</c:v>
                </c:pt>
                <c:pt idx="30">
                  <c:v>1.4457294498438982</c:v>
                </c:pt>
                <c:pt idx="31">
                  <c:v>1.4738990804387959</c:v>
                </c:pt>
                <c:pt idx="32">
                  <c:v>1.5016877205469716</c:v>
                </c:pt>
                <c:pt idx="33">
                  <c:v>1.5291138283575767</c:v>
                </c:pt>
                <c:pt idx="34">
                  <c:v>1.5561944141455455</c:v>
                </c:pt>
                <c:pt idx="35">
                  <c:v>1.5829451946362088</c:v>
                </c:pt>
                <c:pt idx="36">
                  <c:v>1.6093807268215381</c:v>
                </c:pt>
                <c:pt idx="37">
                  <c:v>1.6355145244766749</c:v>
                </c:pt>
                <c:pt idx="38">
                  <c:v>1.6613591600351736</c:v>
                </c:pt>
                <c:pt idx="39">
                  <c:v>1.6869263540115551</c:v>
                </c:pt>
                <c:pt idx="40">
                  <c:v>1.7122270537832232</c:v>
                </c:pt>
                <c:pt idx="41">
                  <c:v>1.7372715032401105</c:v>
                </c:pt>
                <c:pt idx="42">
                  <c:v>1.7620693045639904</c:v>
                </c:pt>
                <c:pt idx="43">
                  <c:v>1.7866294731982868</c:v>
                </c:pt>
                <c:pt idx="44">
                  <c:v>1.81096048690421</c:v>
                </c:pt>
                <c:pt idx="45">
                  <c:v>1.8350703296629993</c:v>
                </c:pt>
                <c:pt idx="46">
                  <c:v>1.8589665310712429</c:v>
                </c:pt>
                <c:pt idx="47">
                  <c:v>1.8826562017824362</c:v>
                </c:pt>
                <c:pt idx="48">
                  <c:v>1.9061460654693634</c:v>
                </c:pt>
                <c:pt idx="49">
                  <c:v>1.9294424877160326</c:v>
                </c:pt>
                <c:pt idx="50">
                  <c:v>1.9525515021922781</c:v>
                </c:pt>
                <c:pt idx="51">
                  <c:v>1.9754788344171601</c:v>
                </c:pt>
                <c:pt idx="52">
                  <c:v>1.9982299233772822</c:v>
                </c:pt>
                <c:pt idx="53">
                  <c:v>2.0208099412321703</c:v>
                </c:pt>
                <c:pt idx="54">
                  <c:v>2.043223811309669</c:v>
                </c:pt>
                <c:pt idx="55">
                  <c:v>2.0654762245693981</c:v>
                </c:pt>
                <c:pt idx="56">
                  <c:v>2.0875716546907421</c:v>
                </c:pt>
                <c:pt idx="57">
                  <c:v>2.1095143719233533</c:v>
                </c:pt>
                <c:pt idx="58">
                  <c:v>2.1313084558220314</c:v>
                </c:pt>
                <c:pt idx="59">
                  <c:v>2.1529578069739417</c:v>
                </c:pt>
                <c:pt idx="60">
                  <c:v>2.1744661578139635</c:v>
                </c:pt>
                <c:pt idx="61">
                  <c:v>2.1958370826134215</c:v>
                </c:pt>
                <c:pt idx="62">
                  <c:v>2.2170740067181289</c:v>
                </c:pt>
                <c:pt idx="63">
                  <c:v>2.2381802151036183</c:v>
                </c:pt>
                <c:pt idx="64">
                  <c:v>2.2591588603082657</c:v>
                </c:pt>
                <c:pt idx="65">
                  <c:v>2.2800129697987406</c:v>
                </c:pt>
                <c:pt idx="66">
                  <c:v>2.300745452816674</c:v>
                </c:pt>
                <c:pt idx="67">
                  <c:v>2.3213591067505455</c:v>
                </c:pt>
                <c:pt idx="68">
                  <c:v>2.3418566230724247</c:v>
                </c:pt>
                <c:pt idx="69">
                  <c:v>2.3622405928753585</c:v>
                </c:pt>
                <c:pt idx="70">
                  <c:v>2.3825135120437864</c:v>
                </c:pt>
                <c:pt idx="71">
                  <c:v>2.4026777860862647</c:v>
                </c:pt>
                <c:pt idx="72">
                  <c:v>2.4227357346571048</c:v>
                </c:pt>
                <c:pt idx="73">
                  <c:v>2.4426895957910486</c:v>
                </c:pt>
                <c:pt idx="74">
                  <c:v>2.4625415298729458</c:v>
                </c:pt>
                <c:pt idx="75">
                  <c:v>2.4822936233624433</c:v>
                </c:pt>
                <c:pt idx="76">
                  <c:v>2.5019478922919012</c:v>
                </c:pt>
                <c:pt idx="77">
                  <c:v>2.521506285554211</c:v>
                </c:pt>
                <c:pt idx="78">
                  <c:v>2.5409706879957392</c:v>
                </c:pt>
                <c:pt idx="79">
                  <c:v>2.5603429233283297</c:v>
                </c:pt>
                <c:pt idx="80">
                  <c:v>2.5796247568731432</c:v>
                </c:pt>
                <c:pt idx="81">
                  <c:v>2.5988178981480736</c:v>
                </c:pt>
                <c:pt idx="82">
                  <c:v>2.6179240033094779</c:v>
                </c:pt>
                <c:pt idx="83">
                  <c:v>2.6369446774581604</c:v>
                </c:pt>
                <c:pt idx="84">
                  <c:v>2.6558814768186956</c:v>
                </c:pt>
                <c:pt idx="85">
                  <c:v>2.6747359108005195</c:v>
                </c:pt>
                <c:pt idx="86">
                  <c:v>2.6935094439485234</c:v>
                </c:pt>
                <c:pt idx="87">
                  <c:v>2.7122034977903065</c:v>
                </c:pt>
                <c:pt idx="88">
                  <c:v>2.7308194525867222</c:v>
                </c:pt>
                <c:pt idx="89">
                  <c:v>2.7493586489918114</c:v>
                </c:pt>
                <c:pt idx="90">
                  <c:v>2.7678223896278218</c:v>
                </c:pt>
                <c:pt idx="91">
                  <c:v>2.7862119405805332</c:v>
                </c:pt>
                <c:pt idx="92">
                  <c:v>2.804528532819794</c:v>
                </c:pt>
                <c:pt idx="93">
                  <c:v>2.8227733635497732</c:v>
                </c:pt>
                <c:pt idx="94">
                  <c:v>2.840947597493138</c:v>
                </c:pt>
                <c:pt idx="95">
                  <c:v>2.8590523681130815</c:v>
                </c:pt>
                <c:pt idx="96">
                  <c:v>2.8770887787768071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C-4ED2-ADC8-E27B59E44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062112"/>
        <c:axId val="764160128"/>
      </c:lineChart>
      <c:catAx>
        <c:axId val="49106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最小主应力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4160128"/>
        <c:crosses val="autoZero"/>
        <c:auto val="1"/>
        <c:lblAlgn val="ctr"/>
        <c:lblOffset val="100"/>
        <c:tickLblSkip val="20"/>
        <c:noMultiLvlLbl val="0"/>
      </c:catAx>
      <c:valAx>
        <c:axId val="7641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最大主应力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06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chart" Target="../charts/chart1.xml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2.pn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476129</xdr:colOff>
      <xdr:row>27</xdr:row>
      <xdr:rowOff>66674</xdr:rowOff>
    </xdr:from>
    <xdr:to>
      <xdr:col>12</xdr:col>
      <xdr:colOff>123824</xdr:colOff>
      <xdr:row>31</xdr:row>
      <xdr:rowOff>152399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63178C4-8030-4B6E-BF16-E61D4C976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029" y="4781549"/>
          <a:ext cx="368629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707063</xdr:colOff>
      <xdr:row>32</xdr:row>
      <xdr:rowOff>96835</xdr:rowOff>
    </xdr:from>
    <xdr:to>
      <xdr:col>4</xdr:col>
      <xdr:colOff>140874</xdr:colOff>
      <xdr:row>35</xdr:row>
      <xdr:rowOff>98061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D74295F-990F-4D29-BF82-FAFB32A7A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063" y="5666159"/>
          <a:ext cx="2280105" cy="539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102703</xdr:colOff>
      <xdr:row>12</xdr:row>
      <xdr:rowOff>84896</xdr:rowOff>
    </xdr:from>
    <xdr:to>
      <xdr:col>4</xdr:col>
      <xdr:colOff>361950</xdr:colOff>
      <xdr:row>15</xdr:row>
      <xdr:rowOff>141496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72EE81B-F6DE-4915-B620-752E3035C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803" y="2085146"/>
          <a:ext cx="2316647" cy="59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16</xdr:row>
      <xdr:rowOff>135834</xdr:rowOff>
    </xdr:from>
    <xdr:to>
      <xdr:col>4</xdr:col>
      <xdr:colOff>371476</xdr:colOff>
      <xdr:row>19</xdr:row>
      <xdr:rowOff>74360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67FD4CC-FDE8-4133-85DE-D9B9675E4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2859984"/>
          <a:ext cx="2409826" cy="481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179732</xdr:colOff>
      <xdr:row>25</xdr:row>
      <xdr:rowOff>17809</xdr:rowOff>
    </xdr:from>
    <xdr:to>
      <xdr:col>5</xdr:col>
      <xdr:colOff>28576</xdr:colOff>
      <xdr:row>26</xdr:row>
      <xdr:rowOff>108213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89A7416-10DB-48AE-A32A-4ACE78BE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1432" y="4370734"/>
          <a:ext cx="1220444" cy="271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40997</xdr:colOff>
      <xdr:row>24</xdr:row>
      <xdr:rowOff>74130</xdr:rowOff>
    </xdr:from>
    <xdr:to>
      <xdr:col>2</xdr:col>
      <xdr:colOff>523875</xdr:colOff>
      <xdr:row>27</xdr:row>
      <xdr:rowOff>88950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F4A9A4C-21E7-43FF-916D-D15A16C65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97" y="4246080"/>
          <a:ext cx="1168678" cy="557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200621</xdr:colOff>
      <xdr:row>0</xdr:row>
      <xdr:rowOff>0</xdr:rowOff>
    </xdr:from>
    <xdr:ext cx="2022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文本框 8">
              <a:extLst>
                <a:ext uri="{FF2B5EF4-FFF2-40B4-BE49-F238E27FC236}">
                  <a16:creationId xmlns:a16="http://schemas.microsoft.com/office/drawing/2014/main" id="{FC4CE02D-DBA1-4AB3-B4AB-3001B297DEDB}"/>
                </a:ext>
              </a:extLst>
            </xdr:cNvPr>
            <xdr:cNvSpPr txBox="1"/>
          </xdr:nvSpPr>
          <xdr:spPr>
            <a:xfrm>
              <a:off x="885230" y="0"/>
              <a:ext cx="2022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𝑐𝑖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9" name="文本框 8">
              <a:extLst>
                <a:ext uri="{FF2B5EF4-FFF2-40B4-BE49-F238E27FC236}">
                  <a16:creationId xmlns:a16="http://schemas.microsoft.com/office/drawing/2014/main" id="{FC4CE02D-DBA1-4AB3-B4AB-3001B297DEDB}"/>
                </a:ext>
              </a:extLst>
            </xdr:cNvPr>
            <xdr:cNvSpPr txBox="1"/>
          </xdr:nvSpPr>
          <xdr:spPr>
            <a:xfrm>
              <a:off x="885230" y="0"/>
              <a:ext cx="2022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𝜎</a:t>
              </a:r>
              <a:r>
                <a:rPr lang="en-US" altLang="zh-CN" sz="1100" i="0">
                  <a:latin typeface="Cambria Math" panose="02040503050406030204" pitchFamily="18" charset="0"/>
                </a:rPr>
                <a:t>_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𝑐𝑖</a:t>
              </a:r>
              <a:endParaRPr lang="zh-CN" altLang="en-US" sz="1100"/>
            </a:p>
          </xdr:txBody>
        </xdr:sp>
      </mc:Fallback>
    </mc:AlternateContent>
    <xdr:clientData/>
  </xdr:oneCellAnchor>
  <xdr:twoCellAnchor>
    <xdr:from>
      <xdr:col>12</xdr:col>
      <xdr:colOff>0</xdr:colOff>
      <xdr:row>0</xdr:row>
      <xdr:rowOff>0</xdr:rowOff>
    </xdr:from>
    <xdr:to>
      <xdr:col>12</xdr:col>
      <xdr:colOff>114300</xdr:colOff>
      <xdr:row>0</xdr:row>
      <xdr:rowOff>152400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4EC0A63F-16A2-4D08-8233-6E73FE8A6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0"/>
          <a:ext cx="1143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123825</xdr:colOff>
      <xdr:row>0</xdr:row>
      <xdr:rowOff>152400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62383FD-3E60-45AE-A436-FB8E8FA37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0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133350</xdr:colOff>
      <xdr:row>0</xdr:row>
      <xdr:rowOff>152400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93223038-A34D-4805-B3A7-651381077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0"/>
          <a:ext cx="133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104775</xdr:colOff>
      <xdr:row>0</xdr:row>
      <xdr:rowOff>152400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60F28F69-3E3C-44EC-8043-EF3458F5A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10925" y="0"/>
          <a:ext cx="104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190500</xdr:colOff>
      <xdr:row>0</xdr:row>
      <xdr:rowOff>152400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E8D28B7F-DE78-499D-A586-41534E303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0"/>
          <a:ext cx="1905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0</xdr:row>
      <xdr:rowOff>9525</xdr:rowOff>
    </xdr:from>
    <xdr:to>
      <xdr:col>11</xdr:col>
      <xdr:colOff>571500</xdr:colOff>
      <xdr:row>0</xdr:row>
      <xdr:rowOff>161925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CD139DF-04C2-472C-8AE2-123DEF396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9525"/>
          <a:ext cx="1714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333375</xdr:colOff>
      <xdr:row>0</xdr:row>
      <xdr:rowOff>152400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577AA498-59B5-4C71-99C7-96E0F526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7325" y="0"/>
          <a:ext cx="3333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209550</xdr:colOff>
      <xdr:row>0</xdr:row>
      <xdr:rowOff>152400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6EA56DB1-97E9-4BD5-9FDB-FAC7014C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5</xdr:col>
      <xdr:colOff>76200</xdr:colOff>
      <xdr:row>0</xdr:row>
      <xdr:rowOff>152400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B835B3F0-188B-4662-B726-64EB4F265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0"/>
          <a:ext cx="76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0</xdr:row>
      <xdr:rowOff>0</xdr:rowOff>
    </xdr:from>
    <xdr:to>
      <xdr:col>24</xdr:col>
      <xdr:colOff>133350</xdr:colOff>
      <xdr:row>0</xdr:row>
      <xdr:rowOff>152400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B39AF7D3-9587-4D58-BB27-EB71C1AC0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8925" y="0"/>
          <a:ext cx="133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0</xdr:colOff>
      <xdr:row>0</xdr:row>
      <xdr:rowOff>0</xdr:rowOff>
    </xdr:from>
    <xdr:to>
      <xdr:col>25</xdr:col>
      <xdr:colOff>123825</xdr:colOff>
      <xdr:row>0</xdr:row>
      <xdr:rowOff>152400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C820C137-6EA9-4F50-9CA4-7F12B4599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44725" y="0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89364</xdr:colOff>
      <xdr:row>14</xdr:row>
      <xdr:rowOff>83483</xdr:rowOff>
    </xdr:from>
    <xdr:to>
      <xdr:col>23</xdr:col>
      <xdr:colOff>59390</xdr:colOff>
      <xdr:row>51</xdr:row>
      <xdr:rowOff>103093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1B1BD9FB-C717-42B1-A601-641C32356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609185</xdr:colOff>
      <xdr:row>22</xdr:row>
      <xdr:rowOff>134642</xdr:rowOff>
    </xdr:from>
    <xdr:to>
      <xdr:col>9</xdr:col>
      <xdr:colOff>895350</xdr:colOff>
      <xdr:row>26</xdr:row>
      <xdr:rowOff>59212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24A48B50-F9A0-48A1-8DF7-185C1EC20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2597" y="3911024"/>
          <a:ext cx="2336841" cy="641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797200</xdr:colOff>
      <xdr:row>20</xdr:row>
      <xdr:rowOff>87381</xdr:rowOff>
    </xdr:from>
    <xdr:to>
      <xdr:col>5</xdr:col>
      <xdr:colOff>581026</xdr:colOff>
      <xdr:row>23</xdr:row>
      <xdr:rowOff>34547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79CF7A99-8356-4C27-9C2E-B40F94A15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00" y="3535431"/>
          <a:ext cx="3327126" cy="490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605873</xdr:colOff>
      <xdr:row>28</xdr:row>
      <xdr:rowOff>91473</xdr:rowOff>
    </xdr:from>
    <xdr:to>
      <xdr:col>7</xdr:col>
      <xdr:colOff>0</xdr:colOff>
      <xdr:row>32</xdr:row>
      <xdr:rowOff>10965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E7D478A-8FEE-432F-92E6-4A472DEBA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873" y="4987323"/>
          <a:ext cx="4309027" cy="643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592622</xdr:colOff>
      <xdr:row>12</xdr:row>
      <xdr:rowOff>77857</xdr:rowOff>
    </xdr:from>
    <xdr:to>
      <xdr:col>11</xdr:col>
      <xdr:colOff>180976</xdr:colOff>
      <xdr:row>15</xdr:row>
      <xdr:rowOff>10806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D62F5785-81ED-459F-8CE8-ABA51F704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5922" y="2078107"/>
          <a:ext cx="4007954" cy="475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19050</xdr:colOff>
      <xdr:row>16</xdr:row>
      <xdr:rowOff>123825</xdr:rowOff>
    </xdr:from>
    <xdr:to>
      <xdr:col>11</xdr:col>
      <xdr:colOff>85725</xdr:colOff>
      <xdr:row>21</xdr:row>
      <xdr:rowOff>101331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E5C870A7-3FB3-4C53-B719-87EE131C4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2847975"/>
          <a:ext cx="3800475" cy="882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79003</xdr:colOff>
      <xdr:row>33</xdr:row>
      <xdr:rowOff>76760</xdr:rowOff>
    </xdr:from>
    <xdr:to>
      <xdr:col>7</xdr:col>
      <xdr:colOff>250453</xdr:colOff>
      <xdr:row>34</xdr:row>
      <xdr:rowOff>150309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B712670F-7205-4D29-8D41-21F3140A6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856" y="5825378"/>
          <a:ext cx="1538568" cy="252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200621</xdr:colOff>
      <xdr:row>0</xdr:row>
      <xdr:rowOff>0</xdr:rowOff>
    </xdr:from>
    <xdr:ext cx="2022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502D41E3-F064-432E-A768-CE5395C42B25}"/>
                </a:ext>
              </a:extLst>
            </xdr:cNvPr>
            <xdr:cNvSpPr txBox="1"/>
          </xdr:nvSpPr>
          <xdr:spPr>
            <a:xfrm>
              <a:off x="1000721" y="0"/>
              <a:ext cx="2022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𝑐𝑖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502D41E3-F064-432E-A768-CE5395C42B25}"/>
                </a:ext>
              </a:extLst>
            </xdr:cNvPr>
            <xdr:cNvSpPr txBox="1"/>
          </xdr:nvSpPr>
          <xdr:spPr>
            <a:xfrm>
              <a:off x="1000721" y="0"/>
              <a:ext cx="2022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100" i="0">
                  <a:latin typeface="Cambria Math" panose="02040503050406030204" pitchFamily="18" charset="0"/>
                </a:rPr>
                <a:t>𝜎</a:t>
              </a:r>
              <a:r>
                <a:rPr lang="en-US" altLang="zh-CN" sz="1100" i="0">
                  <a:latin typeface="Cambria Math" panose="02040503050406030204" pitchFamily="18" charset="0"/>
                </a:rPr>
                <a:t>_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𝑐𝑖</a:t>
              </a:r>
              <a:endParaRPr lang="zh-CN" altLang="en-US" sz="1100"/>
            </a:p>
          </xdr:txBody>
        </xdr:sp>
      </mc:Fallback>
    </mc:AlternateContent>
    <xdr:clientData/>
  </xdr:oneCellAnchor>
  <xdr:twoCellAnchor>
    <xdr:from>
      <xdr:col>12</xdr:col>
      <xdr:colOff>0</xdr:colOff>
      <xdr:row>0</xdr:row>
      <xdr:rowOff>0</xdr:rowOff>
    </xdr:from>
    <xdr:to>
      <xdr:col>12</xdr:col>
      <xdr:colOff>114300</xdr:colOff>
      <xdr:row>0</xdr:row>
      <xdr:rowOff>152400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2225DA8-5C95-4FD5-BC2A-852594B48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0"/>
          <a:ext cx="1143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123825</xdr:colOff>
      <xdr:row>0</xdr:row>
      <xdr:rowOff>152400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3BB5B3A-EBE2-44EF-A1FF-E710DE663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0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133350</xdr:colOff>
      <xdr:row>0</xdr:row>
      <xdr:rowOff>152400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EA56865-4A93-4D85-8956-0E51C89CD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6700" y="0"/>
          <a:ext cx="133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104775</xdr:colOff>
      <xdr:row>0</xdr:row>
      <xdr:rowOff>152400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0B578FB-16E9-4241-A25E-1CC59FF82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0"/>
          <a:ext cx="104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190500</xdr:colOff>
      <xdr:row>0</xdr:row>
      <xdr:rowOff>152400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357ACDB-D1D1-4D02-9F2F-194AA04E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0900" y="0"/>
          <a:ext cx="1905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0</xdr:row>
      <xdr:rowOff>9525</xdr:rowOff>
    </xdr:from>
    <xdr:to>
      <xdr:col>11</xdr:col>
      <xdr:colOff>571500</xdr:colOff>
      <xdr:row>0</xdr:row>
      <xdr:rowOff>161925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87F32B8-A4A6-4B71-A096-029CEC73F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9525"/>
          <a:ext cx="1714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333375</xdr:colOff>
      <xdr:row>0</xdr:row>
      <xdr:rowOff>152400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91EF82A-B07B-446D-B603-7CDC15099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8300" y="0"/>
          <a:ext cx="3333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209550</xdr:colOff>
      <xdr:row>0</xdr:row>
      <xdr:rowOff>152400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C1C69BA-16C6-4CFC-9645-E7DCE616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100" y="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5</xdr:col>
      <xdr:colOff>76200</xdr:colOff>
      <xdr:row>0</xdr:row>
      <xdr:rowOff>152400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7EAE1C43-DE3B-4D8D-9540-26EF77B1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0"/>
          <a:ext cx="76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0</xdr:row>
      <xdr:rowOff>0</xdr:rowOff>
    </xdr:from>
    <xdr:to>
      <xdr:col>24</xdr:col>
      <xdr:colOff>133350</xdr:colOff>
      <xdr:row>0</xdr:row>
      <xdr:rowOff>152400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10E6895D-37B3-4C4F-BA7D-FA8CD8579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0"/>
          <a:ext cx="133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0</xdr:colOff>
      <xdr:row>0</xdr:row>
      <xdr:rowOff>0</xdr:rowOff>
    </xdr:from>
    <xdr:to>
      <xdr:col>25</xdr:col>
      <xdr:colOff>123825</xdr:colOff>
      <xdr:row>0</xdr:row>
      <xdr:rowOff>152400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66EFFCC-F882-43A0-B843-1DCEC83B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54625" y="0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3</xdr:row>
      <xdr:rowOff>171450</xdr:rowOff>
    </xdr:from>
    <xdr:to>
      <xdr:col>9</xdr:col>
      <xdr:colOff>55080</xdr:colOff>
      <xdr:row>5</xdr:row>
      <xdr:rowOff>133308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4FA9128-79BD-9666-F669-D202B0054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0225" y="714375"/>
          <a:ext cx="1323810" cy="333333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2</xdr:row>
      <xdr:rowOff>81915</xdr:rowOff>
    </xdr:from>
    <xdr:to>
      <xdr:col>22</xdr:col>
      <xdr:colOff>60228</xdr:colOff>
      <xdr:row>15</xdr:row>
      <xdr:rowOff>58754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5836768-0C49-E74A-6570-98E45746D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7300" y="424815"/>
          <a:ext cx="5241828" cy="2283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1362-83B9-4AE5-8915-0AEFF6057A73}">
  <dimension ref="A1:Z99"/>
  <sheetViews>
    <sheetView zoomScale="130" zoomScaleNormal="130" workbookViewId="0">
      <selection activeCell="N3" sqref="N3"/>
    </sheetView>
  </sheetViews>
  <sheetFormatPr defaultRowHeight="13.8" x14ac:dyDescent="0.25"/>
  <cols>
    <col min="1" max="1" width="10.44140625" customWidth="1"/>
    <col min="9" max="9" width="9" style="5"/>
    <col min="10" max="10" width="13" style="9" bestFit="1" customWidth="1"/>
    <col min="11" max="11" width="9" style="5"/>
    <col min="12" max="12" width="13" style="5" bestFit="1" customWidth="1"/>
    <col min="13" max="13" width="9" style="7"/>
    <col min="14" max="17" width="9" style="5"/>
    <col min="18" max="18" width="9" style="15"/>
    <col min="19" max="19" width="9" style="5"/>
    <col min="20" max="20" width="9.109375" bestFit="1" customWidth="1"/>
    <col min="21" max="21" width="9.88671875" bestFit="1" customWidth="1"/>
    <col min="22" max="22" width="9.109375" bestFit="1" customWidth="1"/>
  </cols>
  <sheetData>
    <row r="1" spans="1:26" s="1" customFormat="1" x14ac:dyDescent="0.25">
      <c r="A1" s="1" t="s">
        <v>0</v>
      </c>
      <c r="C1" s="1" t="s">
        <v>1</v>
      </c>
      <c r="D1" s="1" t="s">
        <v>2</v>
      </c>
      <c r="E1" s="1" t="s">
        <v>3</v>
      </c>
      <c r="G1" s="1" t="s">
        <v>10</v>
      </c>
      <c r="H1" s="1" t="s">
        <v>4</v>
      </c>
      <c r="I1" s="4" t="s">
        <v>5</v>
      </c>
      <c r="J1" s="8" t="s">
        <v>6</v>
      </c>
      <c r="K1" s="4" t="s">
        <v>7</v>
      </c>
      <c r="L1" s="11"/>
      <c r="M1" s="6"/>
      <c r="N1" s="4"/>
      <c r="O1" s="4"/>
      <c r="P1" s="4"/>
      <c r="Q1" s="4"/>
      <c r="R1" s="14"/>
      <c r="S1" s="4"/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/>
      <c r="Z1"/>
    </row>
    <row r="2" spans="1:26" x14ac:dyDescent="0.25">
      <c r="A2" t="s">
        <v>9</v>
      </c>
      <c r="B2" t="s">
        <v>8</v>
      </c>
      <c r="E2" t="s">
        <v>14</v>
      </c>
      <c r="F2" t="s">
        <v>12</v>
      </c>
      <c r="G2" t="s">
        <v>13</v>
      </c>
      <c r="L2" s="12" t="s">
        <v>20</v>
      </c>
      <c r="Q2" s="5" t="s">
        <v>11</v>
      </c>
      <c r="T2" t="s">
        <v>22</v>
      </c>
      <c r="U2" t="s">
        <v>21</v>
      </c>
      <c r="V2" t="s">
        <v>23</v>
      </c>
    </row>
    <row r="3" spans="1:26" x14ac:dyDescent="0.25">
      <c r="B3" s="16">
        <v>89.5</v>
      </c>
      <c r="C3" s="16">
        <v>64</v>
      </c>
      <c r="D3">
        <v>24</v>
      </c>
      <c r="E3">
        <v>0.9</v>
      </c>
      <c r="F3">
        <v>2.7E-2</v>
      </c>
      <c r="G3">
        <v>196</v>
      </c>
      <c r="I3" s="5">
        <f>(D3*EXP((C3-100)/(28-14*E3)))</f>
        <v>2.3172739950436085</v>
      </c>
      <c r="J3" s="9">
        <f>EXP((C3-100)/(9-3*E3))</f>
        <v>3.2985057559390915E-3</v>
      </c>
      <c r="K3" s="5">
        <f>1/2+1/6*((EXP(-C3/15)-EXP(-20/3)))</f>
        <v>0.50212597217646593</v>
      </c>
      <c r="L3" s="10">
        <f>1000*(1-E3/2)*(SQRT(B3/100))*10^((C3-10)/40)</f>
        <v>11648.612735607778</v>
      </c>
      <c r="M3" s="7">
        <f>-J3*B3/I3</f>
        <v>-0.12739808317358389</v>
      </c>
      <c r="N3" s="5">
        <f>B3*J3^K3</f>
        <v>5.0781516944069613</v>
      </c>
      <c r="O3" s="5">
        <f>B3*(I3+4*J3-K3*(I3-8*J3))*((I3/4+J3)^(K3-1))/(2*(1+K3)*(2+K3))</f>
        <v>18.38764374964871</v>
      </c>
      <c r="P3" s="5">
        <f>S3/B3</f>
        <v>4.7622353966805912E-2</v>
      </c>
      <c r="Q3" s="5">
        <f>DEGREES(ASIN((6*K3*I3*(J3+I3*P3)^(K3-1))/(2*(1+K3)*(2+K3)+6*K3*I3*(J3+I3*P3)^(K3-1))))</f>
        <v>47.119723219735583</v>
      </c>
      <c r="R3" s="15">
        <f>(B3*((1+2*K3)*J3+(1-K3)*I3*P3)*(J3+I3*P3)^(K3-1)/((1+K3)*(2+K3)*SQRT(1+(6*K3*I3*(J3+I3*P3)^(K3-1)/((1+K3)*(2+K3))))))</f>
        <v>1.6995263524214528</v>
      </c>
      <c r="S3" s="5">
        <f>0.72*(O3/(F3*G3))^-0.91*O3</f>
        <v>4.262200680029129</v>
      </c>
      <c r="T3" s="13">
        <f t="shared" ref="T3:T10" si="0">W3*(0.02+(1-E3/2)/(1+EXP((60+15*E3-C3)/11)))</f>
        <v>993.60418757112336</v>
      </c>
      <c r="U3" s="13">
        <f t="shared" ref="U3:U10" si="1">X3*B3*(0.02+(1-E3/2)/(1+EXP((60+15*E3-C3)/11)))</f>
        <v>16389.158641285576</v>
      </c>
      <c r="V3" s="13">
        <f t="shared" ref="V3:V10" si="2">100000*(1-E3/2)/(1+EXP((75+25*E3-C3)/11))</f>
        <v>2497.7765941906846</v>
      </c>
      <c r="W3" s="2">
        <v>5426</v>
      </c>
      <c r="X3">
        <v>1000</v>
      </c>
      <c r="Y3">
        <v>2.5000000000000001E-3</v>
      </c>
      <c r="Z3">
        <f t="shared" ref="Z3:Z68" si="3">Y3+30.05*(0.454*Y3/30.05)^(0.511)</f>
        <v>0.1676082727644779</v>
      </c>
    </row>
    <row r="4" spans="1:26" x14ac:dyDescent="0.25">
      <c r="B4" s="16">
        <v>50.1</v>
      </c>
      <c r="C4" s="16">
        <v>48</v>
      </c>
      <c r="D4">
        <v>9</v>
      </c>
      <c r="E4">
        <v>0.8</v>
      </c>
      <c r="F4">
        <v>2.7E-2</v>
      </c>
      <c r="G4">
        <v>196</v>
      </c>
      <c r="I4" s="5">
        <f>(D4*EXP((C4-100)/(28-14*E4)))</f>
        <v>0.4073781058072819</v>
      </c>
      <c r="J4" s="9">
        <f>EXP((C4-100)/(9-3*E4))</f>
        <v>3.786917990633352E-4</v>
      </c>
      <c r="K4" s="5">
        <f>1/2+1/6*((EXP(-C4/15)-EXP(-20/3)))</f>
        <v>0.50658159502950439</v>
      </c>
      <c r="L4" s="10">
        <f>1000*(1-E4/2)*(SQRT(B4/100))*10^((C4-10)/40)</f>
        <v>3785.0368613115447</v>
      </c>
      <c r="M4" s="7">
        <f>-J4*B4/I4</f>
        <v>-4.6572112891232267E-2</v>
      </c>
      <c r="N4" s="5">
        <f>B4*J4^K4</f>
        <v>0.9256788465750988</v>
      </c>
      <c r="O4" s="5">
        <f>B4*(I4+4*J4-K4*(I4-8*J4))*((I4/4+J4)^(K4-1))/(2*(1+K4)*(2+K4))</f>
        <v>4.1705362913934163</v>
      </c>
      <c r="P4" s="5">
        <f>S4/B4</f>
        <v>7.4439953352063951E-2</v>
      </c>
      <c r="Q4" s="5">
        <f>DEGREES(ASIN((6*K4*I4*(J4+I4*P4)^(K4-1))/(2*(1+K4)*(2+K4)+6*K4*I4*(J4+I4*P4)^(K4-1))))</f>
        <v>28.531740297996098</v>
      </c>
      <c r="R4" s="15">
        <f>(B4*((1+2*K4)*J4+(1-K4)*I4*P4)*(J4+I4*P4)^(K4-1)/((1+K4)*(2+K4)*SQRT(1+(6*K4*I4*(J4+I4*P4)^(K4-1)/((1+K4)*(2+K4))))))</f>
        <v>0.69184460279433813</v>
      </c>
      <c r="S4" s="5">
        <f>0.72*(O4/(F4*G4))^-0.91*O4</f>
        <v>3.7294416629384042</v>
      </c>
      <c r="T4" s="13">
        <f t="shared" si="0"/>
        <v>546.29703665250099</v>
      </c>
      <c r="U4" s="13">
        <f t="shared" si="1"/>
        <v>4049.9380787644718</v>
      </c>
      <c r="V4" s="13">
        <f t="shared" si="2"/>
        <v>825.11699186668943</v>
      </c>
      <c r="W4" s="2">
        <v>6758</v>
      </c>
      <c r="X4">
        <v>1000</v>
      </c>
      <c r="Y4">
        <v>7.4999999999999997E-3</v>
      </c>
      <c r="Z4">
        <f t="shared" si="3"/>
        <v>0.29695282685585644</v>
      </c>
    </row>
    <row r="5" spans="1:26" x14ac:dyDescent="0.25">
      <c r="B5" s="16">
        <v>49.6</v>
      </c>
      <c r="C5" s="16">
        <v>38</v>
      </c>
      <c r="D5">
        <v>12</v>
      </c>
      <c r="E5">
        <v>1</v>
      </c>
      <c r="F5">
        <v>2.69E-2</v>
      </c>
      <c r="G5">
        <v>270</v>
      </c>
      <c r="I5" s="5">
        <f t="shared" ref="I5:I10" si="4">(D5*EXP((C5-100)/(28-14*E5)))</f>
        <v>0.14317827042907372</v>
      </c>
      <c r="J5" s="9">
        <f t="shared" ref="J5:J10" si="5">EXP((C5-100)/(9-3*E5))</f>
        <v>3.2530471172671234E-5</v>
      </c>
      <c r="K5" s="5">
        <f t="shared" ref="K5:K10" si="6">1/2+1/6*((EXP(-C5/15)-EXP(-20/3)))</f>
        <v>0.51302021641262308</v>
      </c>
      <c r="L5" s="10">
        <f t="shared" ref="L5:L10" si="7">1000*(1-E5/2)*(SQRT(B5/100))*10^((C5-10)/40)</f>
        <v>1764.862367175378</v>
      </c>
      <c r="M5" s="7">
        <f t="shared" ref="M5:M10" si="8">-J5*B5/I5</f>
        <v>-1.1269247528477298E-2</v>
      </c>
      <c r="N5" s="5">
        <f t="shared" ref="N5:N10" si="9">B5*J5^K5</f>
        <v>0.24728393474045673</v>
      </c>
      <c r="O5" s="5">
        <f t="shared" ref="O5:O10" si="10">B5*(I5+4*J5-K5*(I5-8*J5))*((I5/4+J5)^(K5-1))/(2*(1+K5)*(2+K5))</f>
        <v>2.3094454207343604</v>
      </c>
      <c r="P5" s="5">
        <f t="shared" ref="P5:P10" si="11">S5/B5</f>
        <v>9.5100349586845406E-2</v>
      </c>
      <c r="Q5" s="5">
        <f t="shared" ref="Q5:Q10" si="12">DEGREES(ASIN((6*K5*I5*(J5+I5*P5)^(K5-1))/(2*(1+K5)*(2+K5)+6*K5*I5*(J5+I5*P5)^(K5-1))))</f>
        <v>18.621194108224813</v>
      </c>
      <c r="R5" s="15">
        <f t="shared" ref="R5:R10" si="13">(B5*((1+2*K5)*J5+(1-K5)*I5*P5)*(J5+I5*P5)^(K5-1)/((1+K5)*(2+K5)*SQRT(1+(6*K5*I5*(J5+I5*P5)^(K5-1)/((1+K5)*(2+K5))))))</f>
        <v>0.50790045205378775</v>
      </c>
      <c r="S5" s="5">
        <f t="shared" ref="S5:S10" si="14">0.72*(O5/(F5*G5))^-0.91*O5</f>
        <v>4.7169773395075323</v>
      </c>
      <c r="T5" s="13">
        <f t="shared" si="0"/>
        <v>292.33677519937027</v>
      </c>
      <c r="U5" s="13">
        <f t="shared" si="1"/>
        <v>1457.2767889335444</v>
      </c>
      <c r="V5" s="13">
        <f t="shared" si="2"/>
        <v>177.65708066009012</v>
      </c>
      <c r="W5" s="2">
        <v>7960</v>
      </c>
      <c r="X5">
        <v>800</v>
      </c>
      <c r="Y5">
        <v>1.7500000000000002E-2</v>
      </c>
      <c r="Z5">
        <f t="shared" si="3"/>
        <v>0.46378668787335753</v>
      </c>
    </row>
    <row r="6" spans="1:26" x14ac:dyDescent="0.25">
      <c r="B6" s="16">
        <v>71.7</v>
      </c>
      <c r="C6" s="16">
        <v>45</v>
      </c>
      <c r="D6">
        <v>12</v>
      </c>
      <c r="E6">
        <v>1</v>
      </c>
      <c r="F6">
        <v>2.7799999999999998E-2</v>
      </c>
      <c r="G6">
        <v>270</v>
      </c>
      <c r="I6" s="5">
        <f t="shared" si="4"/>
        <v>0.2360610599584691</v>
      </c>
      <c r="J6" s="9">
        <f t="shared" si="5"/>
        <v>1.0446414383170532E-4</v>
      </c>
      <c r="K6" s="5">
        <f t="shared" si="6"/>
        <v>0.50808573909442067</v>
      </c>
      <c r="L6" s="10">
        <f t="shared" si="7"/>
        <v>3174.8965737543344</v>
      </c>
      <c r="M6" s="7">
        <f t="shared" si="8"/>
        <v>-3.1729414050970635E-2</v>
      </c>
      <c r="N6" s="5">
        <f t="shared" si="9"/>
        <v>0.6804765885696441</v>
      </c>
      <c r="O6" s="5">
        <f t="shared" si="10"/>
        <v>4.4563193164272512</v>
      </c>
      <c r="P6" s="5">
        <f t="shared" si="11"/>
        <v>7.1918893611673751E-2</v>
      </c>
      <c r="Q6" s="5">
        <f t="shared" si="12"/>
        <v>24.409068240865839</v>
      </c>
      <c r="R6" s="15">
        <f t="shared" si="13"/>
        <v>0.77425708985961517</v>
      </c>
      <c r="S6" s="5">
        <f t="shared" si="14"/>
        <v>5.1565846719570079</v>
      </c>
      <c r="T6" s="13">
        <f t="shared" si="0"/>
        <v>442.18242294033121</v>
      </c>
      <c r="U6" s="13">
        <f t="shared" si="1"/>
        <v>2907.6675203321561</v>
      </c>
      <c r="V6" s="13">
        <f t="shared" si="2"/>
        <v>334.64254621424277</v>
      </c>
      <c r="W6" s="2">
        <v>8723</v>
      </c>
      <c r="X6">
        <v>800</v>
      </c>
      <c r="Y6">
        <v>2.2500000000000003E-2</v>
      </c>
      <c r="Z6">
        <f t="shared" si="3"/>
        <v>0.52994240474467502</v>
      </c>
    </row>
    <row r="7" spans="1:26" x14ac:dyDescent="0.25">
      <c r="B7" s="16">
        <v>41.1</v>
      </c>
      <c r="C7" s="16">
        <v>36</v>
      </c>
      <c r="D7">
        <v>9</v>
      </c>
      <c r="E7">
        <v>1</v>
      </c>
      <c r="F7">
        <v>2.7E-2</v>
      </c>
      <c r="G7">
        <v>274</v>
      </c>
      <c r="I7" s="5">
        <f t="shared" si="4"/>
        <v>9.3088558769564247E-2</v>
      </c>
      <c r="J7" s="9">
        <f t="shared" si="5"/>
        <v>2.3309101142937016E-5</v>
      </c>
      <c r="K7" s="5">
        <f t="shared" si="6"/>
        <v>0.51490755324801207</v>
      </c>
      <c r="L7" s="10">
        <f t="shared" si="7"/>
        <v>1431.8282119830312</v>
      </c>
      <c r="M7" s="7">
        <f t="shared" si="8"/>
        <v>-1.0291319036813098E-2</v>
      </c>
      <c r="N7" s="5">
        <f t="shared" si="9"/>
        <v>0.1692566438777654</v>
      </c>
      <c r="O7" s="5">
        <f t="shared" si="10"/>
        <v>1.515183715664693</v>
      </c>
      <c r="P7" s="5">
        <f t="shared" si="11"/>
        <v>0.11236384411730342</v>
      </c>
      <c r="Q7" s="5">
        <f t="shared" si="12"/>
        <v>14.843694592770746</v>
      </c>
      <c r="R7" s="15">
        <f t="shared" si="13"/>
        <v>0.38793958816013885</v>
      </c>
      <c r="S7" s="5">
        <f t="shared" si="14"/>
        <v>4.6181539932211706</v>
      </c>
      <c r="T7" s="13">
        <f t="shared" si="0"/>
        <v>177.15832262092709</v>
      </c>
      <c r="U7" s="13">
        <f t="shared" si="1"/>
        <v>699.17486649895375</v>
      </c>
      <c r="V7" s="13">
        <f t="shared" si="2"/>
        <v>148.20965677608427</v>
      </c>
      <c r="W7" s="2">
        <v>5207</v>
      </c>
      <c r="X7">
        <v>500</v>
      </c>
      <c r="Y7">
        <v>3.2500000000000001E-2</v>
      </c>
      <c r="Z7">
        <f t="shared" si="3"/>
        <v>0.6448417728051532</v>
      </c>
    </row>
    <row r="8" spans="1:26" ht="14.4" thickBot="1" x14ac:dyDescent="0.3">
      <c r="B8" s="17">
        <v>62.6</v>
      </c>
      <c r="C8" s="17">
        <v>53</v>
      </c>
      <c r="D8">
        <v>9</v>
      </c>
      <c r="E8">
        <v>1</v>
      </c>
      <c r="F8">
        <v>2.7300000000000001E-2</v>
      </c>
      <c r="G8">
        <v>274</v>
      </c>
      <c r="I8" s="5">
        <f t="shared" si="4"/>
        <v>0.31351180008071206</v>
      </c>
      <c r="J8" s="9">
        <f t="shared" si="5"/>
        <v>3.9630226859990606E-4</v>
      </c>
      <c r="K8" s="5">
        <f t="shared" si="6"/>
        <v>0.5046557936061925</v>
      </c>
      <c r="L8" s="10">
        <f t="shared" si="7"/>
        <v>4701.724425500297</v>
      </c>
      <c r="M8" s="7">
        <f t="shared" si="8"/>
        <v>-7.9131063034843629E-2</v>
      </c>
      <c r="N8" s="5">
        <f t="shared" si="9"/>
        <v>1.2015690305567375</v>
      </c>
      <c r="O8" s="5">
        <f t="shared" si="10"/>
        <v>4.6345456279059993</v>
      </c>
      <c r="P8" s="5">
        <f t="shared" si="11"/>
        <v>8.2406188772478725E-2</v>
      </c>
      <c r="Q8" s="5">
        <f t="shared" si="12"/>
        <v>25.676291827187089</v>
      </c>
      <c r="R8" s="15">
        <f t="shared" si="13"/>
        <v>0.86192018583908536</v>
      </c>
      <c r="S8" s="5">
        <f t="shared" si="14"/>
        <v>5.1586274171571684</v>
      </c>
      <c r="T8" s="13">
        <f t="shared" si="0"/>
        <v>585.6279486583594</v>
      </c>
      <c r="U8" s="13">
        <f t="shared" si="1"/>
        <v>2491.5257296461396</v>
      </c>
      <c r="V8" s="13">
        <f t="shared" si="2"/>
        <v>687.59749322224116</v>
      </c>
      <c r="W8" s="3">
        <v>7357</v>
      </c>
      <c r="X8">
        <v>500</v>
      </c>
      <c r="Y8">
        <v>3.7499999999999999E-2</v>
      </c>
      <c r="Z8">
        <f t="shared" si="3"/>
        <v>0.6962967796147872</v>
      </c>
    </row>
    <row r="9" spans="1:26" ht="15" thickTop="1" thickBot="1" x14ac:dyDescent="0.3">
      <c r="B9" s="16">
        <v>36.979999999999997</v>
      </c>
      <c r="C9" s="16">
        <v>40</v>
      </c>
      <c r="D9">
        <v>9</v>
      </c>
      <c r="E9">
        <v>1</v>
      </c>
      <c r="F9">
        <v>2.69E-2</v>
      </c>
      <c r="G9">
        <v>151</v>
      </c>
      <c r="I9" s="5">
        <f t="shared" si="4"/>
        <v>0.12387408059745361</v>
      </c>
      <c r="J9" s="9">
        <f t="shared" si="5"/>
        <v>4.5399929762484854E-5</v>
      </c>
      <c r="K9" s="5">
        <f t="shared" si="6"/>
        <v>0.51136846957024362</v>
      </c>
      <c r="L9" s="10">
        <f t="shared" si="7"/>
        <v>1709.832066849159</v>
      </c>
      <c r="M9" s="7">
        <f t="shared" si="8"/>
        <v>-1.3553193650514177E-2</v>
      </c>
      <c r="N9" s="5">
        <f t="shared" si="9"/>
        <v>0.22239338300060366</v>
      </c>
      <c r="O9" s="5">
        <f t="shared" si="10"/>
        <v>1.6192676654125178</v>
      </c>
      <c r="P9" s="5">
        <f t="shared" si="11"/>
        <v>7.2802763414336072E-2</v>
      </c>
      <c r="Q9" s="5">
        <f t="shared" si="12"/>
        <v>19.431070095114034</v>
      </c>
      <c r="R9" s="15">
        <f t="shared" si="13"/>
        <v>0.30880494602467623</v>
      </c>
      <c r="S9" s="5">
        <f t="shared" si="14"/>
        <v>2.6922461910621478</v>
      </c>
      <c r="T9" s="13">
        <f t="shared" si="0"/>
        <v>34.737229041462022</v>
      </c>
      <c r="U9" s="13">
        <f t="shared" si="1"/>
        <v>738.26593675475033</v>
      </c>
      <c r="V9" s="13">
        <f t="shared" si="2"/>
        <v>212.93035259550183</v>
      </c>
      <c r="W9" s="3">
        <v>870</v>
      </c>
      <c r="X9">
        <v>500</v>
      </c>
      <c r="Y9">
        <v>3.7499999999999999E-2</v>
      </c>
      <c r="Z9">
        <f t="shared" ref="Z9:Z10" si="15">Y9+30.05*(0.454*Y9/30.05)^(0.511)</f>
        <v>0.6962967796147872</v>
      </c>
    </row>
    <row r="10" spans="1:26" ht="15" thickTop="1" thickBot="1" x14ac:dyDescent="0.3">
      <c r="B10" s="16">
        <v>110.81</v>
      </c>
      <c r="C10" s="16">
        <v>63</v>
      </c>
      <c r="D10">
        <v>33</v>
      </c>
      <c r="E10">
        <v>1</v>
      </c>
      <c r="F10">
        <v>2.7E-2</v>
      </c>
      <c r="G10">
        <v>288</v>
      </c>
      <c r="I10" s="5">
        <f t="shared" si="4"/>
        <v>2.3482031498667042</v>
      </c>
      <c r="J10" s="9">
        <f t="shared" si="5"/>
        <v>2.0982184180809026E-3</v>
      </c>
      <c r="K10" s="5">
        <f t="shared" si="6"/>
        <v>0.50228715716985628</v>
      </c>
      <c r="L10" s="10">
        <f t="shared" si="7"/>
        <v>11123.961619657837</v>
      </c>
      <c r="M10" s="7">
        <f t="shared" si="8"/>
        <v>-9.9013402192541525E-2</v>
      </c>
      <c r="N10" s="5">
        <f t="shared" si="9"/>
        <v>5.0047104239168929</v>
      </c>
      <c r="O10" s="5">
        <f t="shared" si="10"/>
        <v>22.737486801301483</v>
      </c>
      <c r="P10" s="5">
        <f t="shared" si="11"/>
        <v>5.5647870824810874E-2</v>
      </c>
      <c r="Q10" s="5">
        <f t="shared" si="12"/>
        <v>46.05400765157151</v>
      </c>
      <c r="R10" s="15">
        <f t="shared" si="13"/>
        <v>2.2497307712811598</v>
      </c>
      <c r="S10" s="5">
        <f t="shared" si="14"/>
        <v>6.1663405660972934</v>
      </c>
      <c r="T10" s="13">
        <f t="shared" si="0"/>
        <v>422.59833749176079</v>
      </c>
      <c r="U10" s="13">
        <f t="shared" si="1"/>
        <v>8073.8140995624153</v>
      </c>
      <c r="V10" s="13">
        <f t="shared" si="2"/>
        <v>1672.5725527559084</v>
      </c>
      <c r="W10" s="3">
        <v>2900</v>
      </c>
      <c r="X10">
        <v>500</v>
      </c>
      <c r="Y10">
        <v>3.7499999999999999E-2</v>
      </c>
      <c r="Z10">
        <f t="shared" si="15"/>
        <v>0.6962967796147872</v>
      </c>
    </row>
    <row r="11" spans="1:26" ht="14.4" thickTop="1" x14ac:dyDescent="0.25">
      <c r="B11" s="2"/>
      <c r="C11" s="2"/>
      <c r="L11" s="10"/>
      <c r="T11" s="13"/>
      <c r="U11" s="13"/>
      <c r="V11" s="13"/>
      <c r="W11" s="2"/>
    </row>
    <row r="12" spans="1:26" x14ac:dyDescent="0.25">
      <c r="B12" s="2"/>
      <c r="C12" s="2"/>
      <c r="L12" s="10"/>
      <c r="T12" s="13"/>
      <c r="U12" s="13"/>
      <c r="V12" s="13"/>
      <c r="W12" s="2"/>
    </row>
    <row r="13" spans="1:26" x14ac:dyDescent="0.25">
      <c r="Y13">
        <v>4.2499999999999996E-2</v>
      </c>
      <c r="Z13">
        <f t="shared" si="3"/>
        <v>0.74480899856910421</v>
      </c>
    </row>
    <row r="14" spans="1:26" x14ac:dyDescent="0.25">
      <c r="Y14">
        <v>4.7500000000000001E-2</v>
      </c>
      <c r="Z14">
        <f t="shared" si="3"/>
        <v>0.79088180012551923</v>
      </c>
    </row>
    <row r="15" spans="1:26" x14ac:dyDescent="0.25">
      <c r="Y15">
        <v>5.2499999999999998E-2</v>
      </c>
      <c r="Z15">
        <f t="shared" si="3"/>
        <v>0.83488928449909006</v>
      </c>
    </row>
    <row r="16" spans="1:26" x14ac:dyDescent="0.25">
      <c r="Y16">
        <v>5.7499999999999996E-2</v>
      </c>
      <c r="Z16">
        <f t="shared" si="3"/>
        <v>0.87711851107508632</v>
      </c>
    </row>
    <row r="17" spans="25:26" x14ac:dyDescent="0.25">
      <c r="Y17">
        <v>6.25E-2</v>
      </c>
      <c r="Z17">
        <f t="shared" si="3"/>
        <v>0.91779548333508509</v>
      </c>
    </row>
    <row r="18" spans="25:26" x14ac:dyDescent="0.25">
      <c r="Y18">
        <v>6.7500000000000004E-2</v>
      </c>
      <c r="Z18">
        <f t="shared" si="3"/>
        <v>0.95710193248100117</v>
      </c>
    </row>
    <row r="19" spans="25:26" x14ac:dyDescent="0.25">
      <c r="Y19">
        <v>7.2499999999999995E-2</v>
      </c>
      <c r="Z19">
        <f t="shared" si="3"/>
        <v>0.99518659493425587</v>
      </c>
    </row>
    <row r="20" spans="25:26" x14ac:dyDescent="0.25">
      <c r="Y20">
        <v>7.7499999999999999E-2</v>
      </c>
      <c r="Z20">
        <f t="shared" si="3"/>
        <v>1.0321730432393428</v>
      </c>
    </row>
    <row r="21" spans="25:26" x14ac:dyDescent="0.25">
      <c r="Y21">
        <v>8.2500000000000004E-2</v>
      </c>
      <c r="Z21">
        <f t="shared" si="3"/>
        <v>1.0681652768717658</v>
      </c>
    </row>
    <row r="22" spans="25:26" x14ac:dyDescent="0.25">
      <c r="Y22">
        <v>8.7499999999999994E-2</v>
      </c>
      <c r="Z22">
        <f t="shared" si="3"/>
        <v>1.1032518098875972</v>
      </c>
    </row>
    <row r="23" spans="25:26" x14ac:dyDescent="0.25">
      <c r="Y23">
        <v>9.2499999999999999E-2</v>
      </c>
      <c r="Z23">
        <f t="shared" si="3"/>
        <v>1.1375087218481235</v>
      </c>
    </row>
    <row r="24" spans="25:26" x14ac:dyDescent="0.25">
      <c r="Y24">
        <v>9.7500000000000003E-2</v>
      </c>
      <c r="Z24">
        <f t="shared" si="3"/>
        <v>1.1710019764467625</v>
      </c>
    </row>
    <row r="25" spans="25:26" x14ac:dyDescent="0.25">
      <c r="Y25">
        <v>0.10249999999999999</v>
      </c>
      <c r="Z25">
        <f t="shared" si="3"/>
        <v>1.2037892119207143</v>
      </c>
    </row>
    <row r="26" spans="25:26" x14ac:dyDescent="0.25">
      <c r="Y26">
        <v>0.1075</v>
      </c>
      <c r="Z26">
        <f t="shared" si="3"/>
        <v>1.2359211433229431</v>
      </c>
    </row>
    <row r="27" spans="25:26" x14ac:dyDescent="0.25">
      <c r="Y27">
        <v>0.1125</v>
      </c>
      <c r="Z27">
        <f t="shared" si="3"/>
        <v>1.2674426748291974</v>
      </c>
    </row>
    <row r="28" spans="25:26" x14ac:dyDescent="0.25">
      <c r="Y28">
        <v>0.11749999999999999</v>
      </c>
      <c r="Z28">
        <f t="shared" si="3"/>
        <v>1.2983937921851869</v>
      </c>
    </row>
    <row r="29" spans="25:26" x14ac:dyDescent="0.25">
      <c r="Y29">
        <v>0.1225</v>
      </c>
      <c r="Z29">
        <f t="shared" si="3"/>
        <v>1.3288102862028246</v>
      </c>
    </row>
    <row r="30" spans="25:26" x14ac:dyDescent="0.25">
      <c r="Y30">
        <v>0.1275</v>
      </c>
      <c r="Z30">
        <f t="shared" si="3"/>
        <v>1.3587243448401487</v>
      </c>
    </row>
    <row r="31" spans="25:26" x14ac:dyDescent="0.25">
      <c r="Y31">
        <v>0.13250000000000001</v>
      </c>
      <c r="Z31">
        <f t="shared" si="3"/>
        <v>1.3881650419232399</v>
      </c>
    </row>
    <row r="32" spans="25:26" x14ac:dyDescent="0.25">
      <c r="Y32">
        <v>0.13750000000000001</v>
      </c>
      <c r="Z32">
        <f t="shared" si="3"/>
        <v>1.4171587437503699</v>
      </c>
    </row>
    <row r="33" spans="25:26" x14ac:dyDescent="0.25">
      <c r="Y33">
        <v>0.14249999999999999</v>
      </c>
      <c r="Z33">
        <f t="shared" si="3"/>
        <v>1.4457294498438982</v>
      </c>
    </row>
    <row r="34" spans="25:26" x14ac:dyDescent="0.25">
      <c r="Y34">
        <v>0.14749999999999999</v>
      </c>
      <c r="Z34">
        <f t="shared" si="3"/>
        <v>1.4738990804387959</v>
      </c>
    </row>
    <row r="35" spans="25:26" x14ac:dyDescent="0.25">
      <c r="Y35">
        <v>0.1525</v>
      </c>
      <c r="Z35">
        <f t="shared" si="3"/>
        <v>1.5016877205469716</v>
      </c>
    </row>
    <row r="36" spans="25:26" x14ac:dyDescent="0.25">
      <c r="Y36">
        <v>0.1575</v>
      </c>
      <c r="Z36">
        <f t="shared" si="3"/>
        <v>1.5291138283575767</v>
      </c>
    </row>
    <row r="37" spans="25:26" x14ac:dyDescent="0.25">
      <c r="Y37">
        <v>0.16250000000000001</v>
      </c>
      <c r="Z37">
        <f t="shared" si="3"/>
        <v>1.5561944141455455</v>
      </c>
    </row>
    <row r="38" spans="25:26" x14ac:dyDescent="0.25">
      <c r="Y38">
        <v>0.16750000000000001</v>
      </c>
      <c r="Z38">
        <f t="shared" si="3"/>
        <v>1.5829451946362088</v>
      </c>
    </row>
    <row r="39" spans="25:26" x14ac:dyDescent="0.25">
      <c r="Y39">
        <v>0.17250000000000001</v>
      </c>
      <c r="Z39">
        <f t="shared" si="3"/>
        <v>1.6093807268215381</v>
      </c>
    </row>
    <row r="40" spans="25:26" x14ac:dyDescent="0.25">
      <c r="Y40">
        <v>0.17749999999999999</v>
      </c>
      <c r="Z40">
        <f t="shared" si="3"/>
        <v>1.6355145244766749</v>
      </c>
    </row>
    <row r="41" spans="25:26" x14ac:dyDescent="0.25">
      <c r="Y41">
        <v>0.1825</v>
      </c>
      <c r="Z41">
        <f t="shared" si="3"/>
        <v>1.6613591600351736</v>
      </c>
    </row>
    <row r="42" spans="25:26" x14ac:dyDescent="0.25">
      <c r="Y42">
        <v>0.1875</v>
      </c>
      <c r="Z42">
        <f t="shared" si="3"/>
        <v>1.6869263540115551</v>
      </c>
    </row>
    <row r="43" spans="25:26" x14ac:dyDescent="0.25">
      <c r="Y43">
        <v>0.1925</v>
      </c>
      <c r="Z43">
        <f t="shared" si="3"/>
        <v>1.7122270537832232</v>
      </c>
    </row>
    <row r="44" spans="25:26" x14ac:dyDescent="0.25">
      <c r="Y44">
        <v>0.19750000000000001</v>
      </c>
      <c r="Z44">
        <f t="shared" si="3"/>
        <v>1.7372715032401105</v>
      </c>
    </row>
    <row r="45" spans="25:26" x14ac:dyDescent="0.25">
      <c r="Y45">
        <v>0.20250000000000001</v>
      </c>
      <c r="Z45">
        <f t="shared" si="3"/>
        <v>1.7620693045639904</v>
      </c>
    </row>
    <row r="46" spans="25:26" x14ac:dyDescent="0.25">
      <c r="Y46">
        <v>0.20749999999999999</v>
      </c>
      <c r="Z46">
        <f t="shared" si="3"/>
        <v>1.7866294731982868</v>
      </c>
    </row>
    <row r="47" spans="25:26" x14ac:dyDescent="0.25">
      <c r="Y47">
        <v>0.21249999999999999</v>
      </c>
      <c r="Z47">
        <f t="shared" si="3"/>
        <v>1.81096048690421</v>
      </c>
    </row>
    <row r="48" spans="25:26" x14ac:dyDescent="0.25">
      <c r="Y48">
        <v>0.2175</v>
      </c>
      <c r="Z48">
        <f t="shared" si="3"/>
        <v>1.8350703296629993</v>
      </c>
    </row>
    <row r="49" spans="25:26" x14ac:dyDescent="0.25">
      <c r="Y49">
        <v>0.2225</v>
      </c>
      <c r="Z49">
        <f t="shared" si="3"/>
        <v>1.8589665310712429</v>
      </c>
    </row>
    <row r="50" spans="25:26" x14ac:dyDescent="0.25">
      <c r="Y50">
        <v>0.22750000000000001</v>
      </c>
      <c r="Z50">
        <f t="shared" si="3"/>
        <v>1.8826562017824362</v>
      </c>
    </row>
    <row r="51" spans="25:26" x14ac:dyDescent="0.25">
      <c r="Y51">
        <v>0.23250000000000001</v>
      </c>
      <c r="Z51">
        <f t="shared" si="3"/>
        <v>1.9061460654693634</v>
      </c>
    </row>
    <row r="52" spans="25:26" x14ac:dyDescent="0.25">
      <c r="Y52">
        <v>0.23749999999999999</v>
      </c>
      <c r="Z52">
        <f t="shared" si="3"/>
        <v>1.9294424877160326</v>
      </c>
    </row>
    <row r="53" spans="25:26" x14ac:dyDescent="0.25">
      <c r="Y53">
        <v>0.24249999999999999</v>
      </c>
      <c r="Z53">
        <f t="shared" si="3"/>
        <v>1.9525515021922781</v>
      </c>
    </row>
    <row r="54" spans="25:26" x14ac:dyDescent="0.25">
      <c r="Y54">
        <v>0.2475</v>
      </c>
      <c r="Z54">
        <f t="shared" si="3"/>
        <v>1.9754788344171601</v>
      </c>
    </row>
    <row r="55" spans="25:26" x14ac:dyDescent="0.25">
      <c r="Y55">
        <v>0.2525</v>
      </c>
      <c r="Z55">
        <f t="shared" si="3"/>
        <v>1.9982299233772822</v>
      </c>
    </row>
    <row r="56" spans="25:26" x14ac:dyDescent="0.25">
      <c r="Y56">
        <v>0.25750000000000001</v>
      </c>
      <c r="Z56">
        <f t="shared" si="3"/>
        <v>2.0208099412321703</v>
      </c>
    </row>
    <row r="57" spans="25:26" x14ac:dyDescent="0.25">
      <c r="Y57">
        <v>0.26250000000000001</v>
      </c>
      <c r="Z57">
        <f t="shared" si="3"/>
        <v>2.043223811309669</v>
      </c>
    </row>
    <row r="58" spans="25:26" x14ac:dyDescent="0.25">
      <c r="Y58">
        <v>0.26750000000000002</v>
      </c>
      <c r="Z58">
        <f t="shared" si="3"/>
        <v>2.0654762245693981</v>
      </c>
    </row>
    <row r="59" spans="25:26" x14ac:dyDescent="0.25">
      <c r="Y59">
        <v>0.27250000000000002</v>
      </c>
      <c r="Z59">
        <f t="shared" si="3"/>
        <v>2.0875716546907421</v>
      </c>
    </row>
    <row r="60" spans="25:26" x14ac:dyDescent="0.25">
      <c r="Y60">
        <v>0.27750000000000002</v>
      </c>
      <c r="Z60">
        <f t="shared" si="3"/>
        <v>2.1095143719233533</v>
      </c>
    </row>
    <row r="61" spans="25:26" x14ac:dyDescent="0.25">
      <c r="Y61">
        <v>0.28250000000000003</v>
      </c>
      <c r="Z61">
        <f t="shared" si="3"/>
        <v>2.1313084558220314</v>
      </c>
    </row>
    <row r="62" spans="25:26" x14ac:dyDescent="0.25">
      <c r="Y62">
        <v>0.28749999999999998</v>
      </c>
      <c r="Z62">
        <f t="shared" si="3"/>
        <v>2.1529578069739417</v>
      </c>
    </row>
    <row r="63" spans="25:26" x14ac:dyDescent="0.25">
      <c r="Y63">
        <v>0.29249999999999998</v>
      </c>
      <c r="Z63">
        <f t="shared" si="3"/>
        <v>2.1744661578139635</v>
      </c>
    </row>
    <row r="64" spans="25:26" x14ac:dyDescent="0.25">
      <c r="Y64">
        <v>0.29749999999999999</v>
      </c>
      <c r="Z64">
        <f t="shared" si="3"/>
        <v>2.1958370826134215</v>
      </c>
    </row>
    <row r="65" spans="25:26" x14ac:dyDescent="0.25">
      <c r="Y65">
        <v>0.30249999999999999</v>
      </c>
      <c r="Z65">
        <f t="shared" si="3"/>
        <v>2.2170740067181289</v>
      </c>
    </row>
    <row r="66" spans="25:26" x14ac:dyDescent="0.25">
      <c r="Y66">
        <v>0.3075</v>
      </c>
      <c r="Z66">
        <f t="shared" si="3"/>
        <v>2.2381802151036183</v>
      </c>
    </row>
    <row r="67" spans="25:26" x14ac:dyDescent="0.25">
      <c r="Y67">
        <v>0.3125</v>
      </c>
      <c r="Z67">
        <f t="shared" si="3"/>
        <v>2.2591588603082657</v>
      </c>
    </row>
    <row r="68" spans="25:26" x14ac:dyDescent="0.25">
      <c r="Y68">
        <v>0.3175</v>
      </c>
      <c r="Z68">
        <f t="shared" si="3"/>
        <v>2.2800129697987406</v>
      </c>
    </row>
    <row r="69" spans="25:26" x14ac:dyDescent="0.25">
      <c r="Y69">
        <v>0.32250000000000001</v>
      </c>
      <c r="Z69">
        <f t="shared" ref="Z69:Z99" si="16">Y69+30.05*(0.454*Y69/30.05)^(0.511)</f>
        <v>2.300745452816674</v>
      </c>
    </row>
    <row r="70" spans="25:26" x14ac:dyDescent="0.25">
      <c r="Y70">
        <v>0.32750000000000001</v>
      </c>
      <c r="Z70">
        <f t="shared" si="16"/>
        <v>2.3213591067505455</v>
      </c>
    </row>
    <row r="71" spans="25:26" x14ac:dyDescent="0.25">
      <c r="Y71">
        <v>0.33250000000000002</v>
      </c>
      <c r="Z71">
        <f t="shared" si="16"/>
        <v>2.3418566230724247</v>
      </c>
    </row>
    <row r="72" spans="25:26" x14ac:dyDescent="0.25">
      <c r="Y72">
        <v>0.33750000000000002</v>
      </c>
      <c r="Z72">
        <f t="shared" si="16"/>
        <v>2.3622405928753585</v>
      </c>
    </row>
    <row r="73" spans="25:26" x14ac:dyDescent="0.25">
      <c r="Y73">
        <v>0.34250000000000003</v>
      </c>
      <c r="Z73">
        <f t="shared" si="16"/>
        <v>2.3825135120437864</v>
      </c>
    </row>
    <row r="74" spans="25:26" x14ac:dyDescent="0.25">
      <c r="Y74">
        <v>0.34750000000000003</v>
      </c>
      <c r="Z74">
        <f t="shared" si="16"/>
        <v>2.4026777860862647</v>
      </c>
    </row>
    <row r="75" spans="25:26" x14ac:dyDescent="0.25">
      <c r="Y75">
        <v>0.35249999999999998</v>
      </c>
      <c r="Z75">
        <f t="shared" si="16"/>
        <v>2.4227357346571048</v>
      </c>
    </row>
    <row r="76" spans="25:26" x14ac:dyDescent="0.25">
      <c r="Y76">
        <v>0.35749999999999998</v>
      </c>
      <c r="Z76">
        <f t="shared" si="16"/>
        <v>2.4426895957910486</v>
      </c>
    </row>
    <row r="77" spans="25:26" x14ac:dyDescent="0.25">
      <c r="Y77">
        <v>0.36249999999999999</v>
      </c>
      <c r="Z77">
        <f t="shared" si="16"/>
        <v>2.4625415298729458</v>
      </c>
    </row>
    <row r="78" spans="25:26" x14ac:dyDescent="0.25">
      <c r="Y78">
        <v>0.36749999999999999</v>
      </c>
      <c r="Z78">
        <f t="shared" si="16"/>
        <v>2.4822936233624433</v>
      </c>
    </row>
    <row r="79" spans="25:26" x14ac:dyDescent="0.25">
      <c r="Y79">
        <v>0.3725</v>
      </c>
      <c r="Z79">
        <f t="shared" si="16"/>
        <v>2.5019478922919012</v>
      </c>
    </row>
    <row r="80" spans="25:26" x14ac:dyDescent="0.25">
      <c r="Y80">
        <v>0.3775</v>
      </c>
      <c r="Z80">
        <f t="shared" si="16"/>
        <v>2.521506285554211</v>
      </c>
    </row>
    <row r="81" spans="25:26" x14ac:dyDescent="0.25">
      <c r="Y81">
        <v>0.38250000000000001</v>
      </c>
      <c r="Z81">
        <f t="shared" si="16"/>
        <v>2.5409706879957392</v>
      </c>
    </row>
    <row r="82" spans="25:26" x14ac:dyDescent="0.25">
      <c r="Y82">
        <v>0.38750000000000001</v>
      </c>
      <c r="Z82">
        <f t="shared" si="16"/>
        <v>2.5603429233283297</v>
      </c>
    </row>
    <row r="83" spans="25:26" x14ac:dyDescent="0.25">
      <c r="Y83">
        <v>0.39250000000000002</v>
      </c>
      <c r="Z83">
        <f t="shared" si="16"/>
        <v>2.5796247568731432</v>
      </c>
    </row>
    <row r="84" spans="25:26" x14ac:dyDescent="0.25">
      <c r="Y84">
        <v>0.39750000000000002</v>
      </c>
      <c r="Z84">
        <f t="shared" si="16"/>
        <v>2.5988178981480736</v>
      </c>
    </row>
    <row r="85" spans="25:26" x14ac:dyDescent="0.25">
      <c r="Y85">
        <v>0.40250000000000002</v>
      </c>
      <c r="Z85">
        <f t="shared" si="16"/>
        <v>2.6179240033094779</v>
      </c>
    </row>
    <row r="86" spans="25:26" x14ac:dyDescent="0.25">
      <c r="Y86">
        <v>0.40750000000000003</v>
      </c>
      <c r="Z86">
        <f t="shared" si="16"/>
        <v>2.6369446774581604</v>
      </c>
    </row>
    <row r="87" spans="25:26" x14ac:dyDescent="0.25">
      <c r="Y87">
        <v>0.41250000000000003</v>
      </c>
      <c r="Z87">
        <f t="shared" si="16"/>
        <v>2.6558814768186956</v>
      </c>
    </row>
    <row r="88" spans="25:26" x14ac:dyDescent="0.25">
      <c r="Y88">
        <v>0.41749999999999998</v>
      </c>
      <c r="Z88">
        <f t="shared" si="16"/>
        <v>2.6747359108005195</v>
      </c>
    </row>
    <row r="89" spans="25:26" x14ac:dyDescent="0.25">
      <c r="Y89">
        <v>0.42249999999999999</v>
      </c>
      <c r="Z89">
        <f t="shared" si="16"/>
        <v>2.6935094439485234</v>
      </c>
    </row>
    <row r="90" spans="25:26" x14ac:dyDescent="0.25">
      <c r="Y90">
        <v>0.42749999999999999</v>
      </c>
      <c r="Z90">
        <f t="shared" si="16"/>
        <v>2.7122034977903065</v>
      </c>
    </row>
    <row r="91" spans="25:26" x14ac:dyDescent="0.25">
      <c r="Y91">
        <v>0.4325</v>
      </c>
      <c r="Z91">
        <f t="shared" si="16"/>
        <v>2.7308194525867222</v>
      </c>
    </row>
    <row r="92" spans="25:26" x14ac:dyDescent="0.25">
      <c r="Y92">
        <v>0.4375</v>
      </c>
      <c r="Z92">
        <f t="shared" si="16"/>
        <v>2.7493586489918114</v>
      </c>
    </row>
    <row r="93" spans="25:26" x14ac:dyDescent="0.25">
      <c r="Y93">
        <v>0.4425</v>
      </c>
      <c r="Z93">
        <f t="shared" si="16"/>
        <v>2.7678223896278218</v>
      </c>
    </row>
    <row r="94" spans="25:26" x14ac:dyDescent="0.25">
      <c r="Y94">
        <v>0.44750000000000001</v>
      </c>
      <c r="Z94">
        <f t="shared" si="16"/>
        <v>2.7862119405805332</v>
      </c>
    </row>
    <row r="95" spans="25:26" x14ac:dyDescent="0.25">
      <c r="Y95">
        <v>0.45250000000000001</v>
      </c>
      <c r="Z95">
        <f t="shared" si="16"/>
        <v>2.804528532819794</v>
      </c>
    </row>
    <row r="96" spans="25:26" x14ac:dyDescent="0.25">
      <c r="Y96">
        <v>0.45750000000000002</v>
      </c>
      <c r="Z96">
        <f t="shared" si="16"/>
        <v>2.8227733635497732</v>
      </c>
    </row>
    <row r="97" spans="25:26" x14ac:dyDescent="0.25">
      <c r="Y97">
        <v>0.46250000000000002</v>
      </c>
      <c r="Z97">
        <f t="shared" si="16"/>
        <v>2.840947597493138</v>
      </c>
    </row>
    <row r="98" spans="25:26" x14ac:dyDescent="0.25">
      <c r="Y98">
        <v>0.46750000000000003</v>
      </c>
      <c r="Z98">
        <f t="shared" si="16"/>
        <v>2.8590523681130815</v>
      </c>
    </row>
    <row r="99" spans="25:26" x14ac:dyDescent="0.25">
      <c r="Y99">
        <v>0.47250000000000003</v>
      </c>
      <c r="Z99">
        <f t="shared" si="16"/>
        <v>2.8770887787768071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8715-4099-4DCE-AA21-796D691AE97E}">
  <dimension ref="A1:Z5"/>
  <sheetViews>
    <sheetView workbookViewId="0">
      <selection activeCell="Y3" sqref="Y3"/>
    </sheetView>
  </sheetViews>
  <sheetFormatPr defaultRowHeight="13.8" x14ac:dyDescent="0.25"/>
  <sheetData>
    <row r="1" spans="1:26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/>
      <c r="G1" s="1" t="s">
        <v>10</v>
      </c>
      <c r="H1" s="1" t="s">
        <v>4</v>
      </c>
      <c r="I1" s="4" t="s">
        <v>5</v>
      </c>
      <c r="J1" s="8" t="s">
        <v>6</v>
      </c>
      <c r="K1" s="4" t="s">
        <v>7</v>
      </c>
      <c r="L1" s="11"/>
      <c r="M1" s="6"/>
      <c r="N1" s="4"/>
      <c r="O1" s="4"/>
      <c r="P1" s="4"/>
      <c r="Q1" s="4"/>
      <c r="R1" s="14"/>
      <c r="S1" s="4"/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6" x14ac:dyDescent="0.25">
      <c r="A2" t="s">
        <v>9</v>
      </c>
      <c r="B2" t="s">
        <v>8</v>
      </c>
      <c r="E2" t="s">
        <v>14</v>
      </c>
      <c r="F2" t="s">
        <v>12</v>
      </c>
      <c r="G2" t="s">
        <v>13</v>
      </c>
      <c r="I2" s="5"/>
      <c r="J2" s="9"/>
      <c r="K2" s="5"/>
      <c r="L2" s="12" t="s">
        <v>20</v>
      </c>
      <c r="M2" s="7"/>
      <c r="N2" s="5"/>
      <c r="O2" s="5"/>
      <c r="P2" s="5"/>
      <c r="Q2" s="5" t="s">
        <v>11</v>
      </c>
      <c r="R2" s="15"/>
      <c r="S2" s="5"/>
      <c r="T2" t="s">
        <v>22</v>
      </c>
      <c r="U2" t="s">
        <v>21</v>
      </c>
      <c r="V2" t="s">
        <v>23</v>
      </c>
    </row>
    <row r="3" spans="1:26" x14ac:dyDescent="0.25">
      <c r="B3" s="16">
        <v>9.41</v>
      </c>
      <c r="C3" s="16">
        <v>48</v>
      </c>
      <c r="D3">
        <v>33</v>
      </c>
      <c r="E3">
        <v>1</v>
      </c>
      <c r="F3">
        <v>2.5600000000000001E-2</v>
      </c>
      <c r="G3">
        <v>274</v>
      </c>
      <c r="I3" s="5">
        <f>(D3*EXP((C3-100)/(28-14*E3)))</f>
        <v>0.80430385441822672</v>
      </c>
      <c r="J3" s="9">
        <f>EXP((C3-100)/(9-3*E3))</f>
        <v>1.7223225596081014E-4</v>
      </c>
      <c r="K3" s="5">
        <f>1/2+1/6*((EXP(-C3/15)-EXP(-20/3)))</f>
        <v>0.50658159502950439</v>
      </c>
      <c r="L3" s="10">
        <f>1000*(1-E3/2)*(SQRT(B3/100))*10^((C3-10)/40)</f>
        <v>1366.9883584686715</v>
      </c>
      <c r="M3" s="7">
        <f>-J3*B3/I3</f>
        <v>-2.0150413549410635E-3</v>
      </c>
      <c r="N3" s="5">
        <f>B3*J3^K3</f>
        <v>0.11664724831995738</v>
      </c>
      <c r="O3" s="5">
        <f>B3*(I3+4*J3-K3*(I3-8*J3))*((I3/4+J3)^(K3-1))/(2*(1+K3)*(2+K3))</f>
        <v>1.0944279556145686</v>
      </c>
      <c r="P3" s="5">
        <f>S3/B3</f>
        <v>0.45406821236979567</v>
      </c>
      <c r="Q3" s="5">
        <f>DEGREES(ASIN((6*K3*I3*(J3+I3*P3)^(K3-1))/(2*(1+K3)*(2+K3)+6*K3*I3*(J3+I3*P3)^(K3-1))))</f>
        <v>20.31825127491652</v>
      </c>
      <c r="R3" s="15">
        <f>(B3*((1+2*K3)*J3+(1-K3)*I3*P3)*(J3+I3*P3)^(K3-1)/((1+K3)*(2+K3)*SQRT(1+(6*K3*I3*(J3+I3*P3)^(K3-1)/((1+K3)*(2+K3))))))</f>
        <v>0.51465093979426768</v>
      </c>
      <c r="S3" s="5">
        <f>0.72*(O3/(F3*G3))^-0.91*O3</f>
        <v>4.2727818783997771</v>
      </c>
      <c r="T3" s="13">
        <f t="shared" ref="T3" si="0">W3*(0.02+(1-E3/2)/(1+EXP((60+15*E3-C3)/11)))</f>
        <v>0</v>
      </c>
      <c r="U3" s="13">
        <f t="shared" ref="U3" si="1">X3*B3*(0.02+(1-E3/2)/(1+EXP((60+15*E3-C3)/11)))</f>
        <v>308.2185794472353</v>
      </c>
      <c r="V3" s="13">
        <f>100000*(1-E3/2)/(1+EXP((75+25*E3-C3)/11))</f>
        <v>438.64652996296888</v>
      </c>
      <c r="W3" s="2">
        <v>0</v>
      </c>
      <c r="X3">
        <v>550</v>
      </c>
      <c r="Y3">
        <v>2.5000000000000001E-3</v>
      </c>
      <c r="Z3">
        <f t="shared" ref="Z3" si="2">Y3+30.05*(0.454*Y3/30.05)^(0.511)</f>
        <v>0.1676082727644779</v>
      </c>
    </row>
    <row r="4" spans="1:26" x14ac:dyDescent="0.25">
      <c r="B4">
        <v>30.05</v>
      </c>
      <c r="C4">
        <v>40</v>
      </c>
      <c r="D4">
        <v>33</v>
      </c>
      <c r="E4">
        <v>1</v>
      </c>
      <c r="F4">
        <v>2.6100000000000002E-2</v>
      </c>
      <c r="G4">
        <v>274</v>
      </c>
      <c r="I4" s="5">
        <f t="shared" ref="I4:I5" si="3">(D4*EXP((C4-100)/(28-14*E4)))</f>
        <v>0.45420496219066325</v>
      </c>
      <c r="J4" s="9">
        <f t="shared" ref="J4:J5" si="4">EXP((C4-100)/(9-3*E4))</f>
        <v>4.5399929762484854E-5</v>
      </c>
      <c r="K4" s="5">
        <f t="shared" ref="K4:K5" si="5">1/2+1/6*((EXP(-C4/15)-EXP(-20/3)))</f>
        <v>0.51136846957024362</v>
      </c>
      <c r="L4" s="10">
        <f t="shared" ref="L4:L5" si="6">1000*(1-E4/2)*(SQRT(B4/100))*10^((C4-10)/40)</f>
        <v>1541.3179724513357</v>
      </c>
      <c r="M4" s="7">
        <f t="shared" ref="M4:M5" si="7">-J4*B4/I4</f>
        <v>-3.0036393323021123E-3</v>
      </c>
      <c r="N4" s="5">
        <f t="shared" ref="N4:N5" si="8">B4*J4^K4</f>
        <v>0.18071717574819199</v>
      </c>
      <c r="O4" s="5">
        <f t="shared" ref="O4:O5" si="9">B4*(I4+4*J4-K4*(I4-8*J4))*((I4/4+J4)^(K4-1))/(2*(1+K4)*(2+K4))</f>
        <v>2.5472024104026261</v>
      </c>
      <c r="P4" s="5">
        <f t="shared" ref="P4:P5" si="10">S4/B4</f>
        <v>0.15614554759377275</v>
      </c>
      <c r="Q4" s="5">
        <f t="shared" ref="Q4:Q5" si="11">DEGREES(ASIN((6*K4*I4*(J4+I4*P4)^(K4-1))/(2*(1+K4)*(2+K4)+6*K4*I4*(J4+I4*P4)^(K4-1))))</f>
        <v>23.624014692112809</v>
      </c>
      <c r="R4" s="15">
        <f t="shared" ref="R4:R5" si="12">(B4*((1+2*K4)*J4+(1-K4)*I4*P4)*(J4+I4*P4)^(K4-1)/((1+K4)*(2+K4)*SQRT(1+(6*K4*I4*(J4+I4*P4)^(K4-1)/((1+K4)*(2+K4))))))</f>
        <v>0.65541599301820119</v>
      </c>
      <c r="S4" s="5">
        <f t="shared" ref="S4:S5" si="13">0.72*(O4/(F4*G4))^-0.91*O4</f>
        <v>4.6921737051928716</v>
      </c>
      <c r="T4" s="13">
        <f t="shared" ref="T4:T5" si="14">W4*(0.02+(1-E4/2)/(1+EXP((60+15*E4-C4)/11)))</f>
        <v>0</v>
      </c>
      <c r="U4" s="13">
        <f t="shared" ref="U4:U5" si="15">X4*B4*(0.02+(1-E4/2)/(1+EXP((60+15*E4-C4)/11)))</f>
        <v>659.90753216409598</v>
      </c>
      <c r="V4" s="13">
        <f t="shared" ref="V4:V5" si="16">100000*(1-E4/2)/(1+EXP((75+25*E4-C4)/11))</f>
        <v>212.93035259550183</v>
      </c>
      <c r="W4" s="2">
        <v>0</v>
      </c>
      <c r="X4">
        <v>550</v>
      </c>
      <c r="Y4">
        <v>2.5000000000000001E-3</v>
      </c>
      <c r="Z4">
        <f t="shared" ref="Z4:Z5" si="17">Y4+30.05*(0.454*Y4/30.05)^(0.511)</f>
        <v>0.1676082727644779</v>
      </c>
    </row>
    <row r="5" spans="1:26" x14ac:dyDescent="0.25">
      <c r="B5">
        <v>36.299999999999997</v>
      </c>
      <c r="C5">
        <v>60</v>
      </c>
      <c r="D5">
        <v>33</v>
      </c>
      <c r="E5">
        <v>1</v>
      </c>
      <c r="F5">
        <v>2.63E-2</v>
      </c>
      <c r="G5">
        <v>274</v>
      </c>
      <c r="I5" s="5">
        <f t="shared" si="3"/>
        <v>1.8952764358313725</v>
      </c>
      <c r="J5" s="9">
        <f t="shared" si="4"/>
        <v>1.2726338013398079E-3</v>
      </c>
      <c r="K5" s="5">
        <f t="shared" si="5"/>
        <v>0.50284050084789911</v>
      </c>
      <c r="L5" s="10">
        <f t="shared" si="6"/>
        <v>5357.0206053391348</v>
      </c>
      <c r="M5" s="7">
        <f t="shared" si="7"/>
        <v>-2.4374601042496818E-2</v>
      </c>
      <c r="N5" s="5">
        <f t="shared" si="8"/>
        <v>1.2706743396032547</v>
      </c>
      <c r="O5" s="5">
        <f t="shared" si="9"/>
        <v>6.6538435695863729</v>
      </c>
      <c r="P5" s="5">
        <f t="shared" si="10"/>
        <v>0.14191070169241349</v>
      </c>
      <c r="Q5" s="5">
        <f t="shared" si="11"/>
        <v>36.367603998516628</v>
      </c>
      <c r="R5" s="15">
        <f t="shared" si="12"/>
        <v>1.274050626073274</v>
      </c>
      <c r="S5" s="5">
        <f t="shared" si="13"/>
        <v>5.1513584714346097</v>
      </c>
      <c r="T5" s="13">
        <f t="shared" si="14"/>
        <v>0</v>
      </c>
      <c r="U5" s="13">
        <f t="shared" si="15"/>
        <v>2432.2354611859041</v>
      </c>
      <c r="V5" s="13">
        <f t="shared" si="16"/>
        <v>1283.5793174913515</v>
      </c>
      <c r="W5" s="2">
        <v>0</v>
      </c>
      <c r="X5">
        <v>550</v>
      </c>
      <c r="Y5">
        <v>2.5000000000000001E-3</v>
      </c>
      <c r="Z5">
        <f t="shared" si="17"/>
        <v>0.1676082727644779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FDEC-3A77-4E46-AD57-FFE07B3FD22D}">
  <dimension ref="A12:L26"/>
  <sheetViews>
    <sheetView tabSelected="1" workbookViewId="0">
      <selection activeCell="F27" sqref="F27"/>
    </sheetView>
  </sheetViews>
  <sheetFormatPr defaultRowHeight="13.8" x14ac:dyDescent="0.25"/>
  <cols>
    <col min="1" max="1" width="19.5546875" customWidth="1"/>
    <col min="11" max="11" width="9.6640625" bestFit="1" customWidth="1"/>
  </cols>
  <sheetData>
    <row r="12" spans="1:11" x14ac:dyDescent="0.25">
      <c r="I12" t="s">
        <v>37</v>
      </c>
      <c r="K12" t="s">
        <v>38</v>
      </c>
    </row>
    <row r="13" spans="1:11" ht="14.4" thickBot="1" x14ac:dyDescent="0.3">
      <c r="B13" t="s">
        <v>24</v>
      </c>
      <c r="C13" t="s">
        <v>7</v>
      </c>
      <c r="D13" t="s">
        <v>10</v>
      </c>
      <c r="E13" t="s">
        <v>25</v>
      </c>
      <c r="F13" t="s">
        <v>27</v>
      </c>
      <c r="G13" s="18" t="s">
        <v>26</v>
      </c>
      <c r="H13" t="s">
        <v>28</v>
      </c>
      <c r="I13" t="s">
        <v>29</v>
      </c>
      <c r="J13" t="s">
        <v>35</v>
      </c>
      <c r="K13" t="s">
        <v>36</v>
      </c>
    </row>
    <row r="14" spans="1:11" ht="16.8" thickTop="1" thickBot="1" x14ac:dyDescent="0.3">
      <c r="A14" s="19" t="s">
        <v>30</v>
      </c>
      <c r="B14" s="22">
        <v>4.4999999999999998E-2</v>
      </c>
      <c r="C14" s="25">
        <v>0.5</v>
      </c>
      <c r="D14" s="25">
        <v>855</v>
      </c>
      <c r="E14" s="25">
        <v>0.11</v>
      </c>
      <c r="F14" s="22">
        <v>0.75</v>
      </c>
      <c r="G14" s="22">
        <v>26.5</v>
      </c>
      <c r="H14">
        <f>G14*F14</f>
        <v>19.875</v>
      </c>
      <c r="I14">
        <f>1000*B14/(1+C14*LN(D14/E14))</f>
        <v>8.2128954930580171</v>
      </c>
    </row>
    <row r="15" spans="1:11" ht="16.2" thickBot="1" x14ac:dyDescent="0.3">
      <c r="A15" s="20" t="s">
        <v>31</v>
      </c>
      <c r="B15" s="23">
        <v>5.3</v>
      </c>
      <c r="C15" s="26">
        <v>3</v>
      </c>
      <c r="D15" s="26">
        <v>855</v>
      </c>
      <c r="E15" s="26">
        <v>0.39</v>
      </c>
      <c r="F15" s="23">
        <v>0.8</v>
      </c>
      <c r="G15" s="23">
        <v>38.299999999999997</v>
      </c>
      <c r="H15">
        <f t="shared" ref="H15:H18" si="0">G15*F15</f>
        <v>30.64</v>
      </c>
      <c r="I15">
        <f t="shared" ref="I15:I18" si="1">1000*B15/(1+C15*LN(D15/E15))</f>
        <v>220.11676131792976</v>
      </c>
    </row>
    <row r="16" spans="1:11" ht="16.2" thickBot="1" x14ac:dyDescent="0.3">
      <c r="A16" s="20" t="s">
        <v>32</v>
      </c>
      <c r="B16" s="23">
        <v>1.8</v>
      </c>
      <c r="C16" s="26">
        <v>2</v>
      </c>
      <c r="D16" s="26">
        <v>855</v>
      </c>
      <c r="E16" s="26">
        <v>0.37</v>
      </c>
      <c r="F16" s="23">
        <v>0.8</v>
      </c>
      <c r="G16" s="23">
        <v>35.200000000000003</v>
      </c>
      <c r="H16">
        <f t="shared" si="0"/>
        <v>28.160000000000004</v>
      </c>
      <c r="I16">
        <f t="shared" si="1"/>
        <v>109.15238182989879</v>
      </c>
    </row>
    <row r="17" spans="1:12" ht="31.8" thickBot="1" x14ac:dyDescent="0.3">
      <c r="A17" s="20" t="s">
        <v>33</v>
      </c>
      <c r="B17" s="23">
        <v>4.4999999999999998E-2</v>
      </c>
      <c r="C17" s="26">
        <v>0.5</v>
      </c>
      <c r="D17" s="26">
        <v>855</v>
      </c>
      <c r="E17" s="26">
        <v>0.12</v>
      </c>
      <c r="F17" s="23">
        <v>0.75</v>
      </c>
      <c r="G17" s="23">
        <v>26.1</v>
      </c>
      <c r="H17">
        <f t="shared" si="0"/>
        <v>19.575000000000003</v>
      </c>
      <c r="I17">
        <f t="shared" si="1"/>
        <v>8.2786292206612426</v>
      </c>
    </row>
    <row r="18" spans="1:12" ht="31.8" thickBot="1" x14ac:dyDescent="0.3">
      <c r="A18" s="21" t="s">
        <v>34</v>
      </c>
      <c r="B18" s="24">
        <v>5.0999999999999996</v>
      </c>
      <c r="C18" s="27">
        <v>2</v>
      </c>
      <c r="D18" s="27">
        <v>855</v>
      </c>
      <c r="E18" s="27">
        <v>0.33</v>
      </c>
      <c r="F18" s="24">
        <v>0.85</v>
      </c>
      <c r="G18" s="24">
        <v>37.700000000000003</v>
      </c>
      <c r="H18">
        <f t="shared" si="0"/>
        <v>32.045000000000002</v>
      </c>
      <c r="I18">
        <f t="shared" si="1"/>
        <v>305.03253100113312</v>
      </c>
    </row>
    <row r="19" spans="1:12" ht="14.4" thickTop="1" x14ac:dyDescent="0.25">
      <c r="H19">
        <f t="shared" ref="H19:H22" si="2">G19*F19</f>
        <v>0</v>
      </c>
      <c r="I19" t="e">
        <f t="shared" ref="I19:I22" si="3">1000*B19/(1+C19*LN(D19/E19))</f>
        <v>#DIV/0!</v>
      </c>
    </row>
    <row r="20" spans="1:12" ht="15.6" x14ac:dyDescent="0.25">
      <c r="B20" s="29">
        <v>18.504999999999999</v>
      </c>
      <c r="C20" s="28">
        <v>0.5</v>
      </c>
      <c r="D20" s="28">
        <v>74</v>
      </c>
      <c r="E20" s="28">
        <v>4.1000000000000002E-2</v>
      </c>
      <c r="F20" s="29">
        <v>0.75</v>
      </c>
      <c r="G20" s="29">
        <v>35.25</v>
      </c>
      <c r="H20">
        <f t="shared" si="2"/>
        <v>26.4375</v>
      </c>
      <c r="I20">
        <f t="shared" si="3"/>
        <v>3896.5079464851797</v>
      </c>
      <c r="J20">
        <v>24.5</v>
      </c>
      <c r="K20">
        <f>(0.114*EXP(-0.48*(J20-2))+0.02)*B20*1000</f>
        <v>370.14303418041106</v>
      </c>
      <c r="L20">
        <f>J20-2</f>
        <v>22.5</v>
      </c>
    </row>
    <row r="21" spans="1:12" ht="15.6" x14ac:dyDescent="0.25">
      <c r="B21" s="29">
        <v>15.962</v>
      </c>
      <c r="C21" s="28">
        <v>2</v>
      </c>
      <c r="D21" s="28">
        <v>146</v>
      </c>
      <c r="E21" s="28">
        <v>3.5999999999999997E-2</v>
      </c>
      <c r="F21" s="29">
        <v>0.75</v>
      </c>
      <c r="G21" s="29">
        <v>40.25</v>
      </c>
      <c r="H21">
        <f t="shared" si="2"/>
        <v>30.1875</v>
      </c>
      <c r="I21">
        <f t="shared" si="3"/>
        <v>906.12423884262671</v>
      </c>
      <c r="J21">
        <v>27.5</v>
      </c>
      <c r="K21">
        <f t="shared" ref="K21:K26" si="4">(0.114*EXP(-0.48*(J21-2))+0.02)*B21*1000</f>
        <v>319.24879483506572</v>
      </c>
    </row>
    <row r="22" spans="1:12" ht="15.6" x14ac:dyDescent="0.25">
      <c r="B22" s="29">
        <v>50.29</v>
      </c>
      <c r="C22" s="28">
        <v>3</v>
      </c>
      <c r="D22" s="28">
        <v>146</v>
      </c>
      <c r="E22" s="28">
        <v>6.7000000000000004E-2</v>
      </c>
      <c r="F22" s="29">
        <v>0.8</v>
      </c>
      <c r="G22" s="29">
        <v>36.630000000000003</v>
      </c>
      <c r="H22">
        <f t="shared" si="2"/>
        <v>29.304000000000002</v>
      </c>
      <c r="I22">
        <f t="shared" si="3"/>
        <v>2090.1905072634154</v>
      </c>
      <c r="J22">
        <v>15</v>
      </c>
      <c r="K22">
        <f t="shared" si="4"/>
        <v>1016.9786387038024</v>
      </c>
    </row>
    <row r="23" spans="1:12" ht="15.6" x14ac:dyDescent="0.25">
      <c r="B23" s="29"/>
      <c r="C23" s="28"/>
      <c r="D23" s="28"/>
      <c r="E23" s="28"/>
      <c r="F23" s="29"/>
      <c r="G23" s="29"/>
    </row>
    <row r="24" spans="1:12" ht="15.6" x14ac:dyDescent="0.25">
      <c r="B24" s="29"/>
      <c r="C24" s="28"/>
      <c r="D24" s="28"/>
      <c r="E24" s="28"/>
      <c r="F24" s="29"/>
      <c r="G24" s="29"/>
    </row>
    <row r="25" spans="1:12" ht="15.6" x14ac:dyDescent="0.25">
      <c r="B25" s="29"/>
      <c r="C25" s="28"/>
      <c r="D25" s="28"/>
      <c r="E25" s="28"/>
      <c r="F25" s="29"/>
      <c r="G25" s="29"/>
    </row>
    <row r="26" spans="1:12" ht="15.6" x14ac:dyDescent="0.25">
      <c r="B26" s="29"/>
      <c r="C26" s="28"/>
      <c r="D26" s="28"/>
      <c r="E26" s="28"/>
      <c r="F26" s="29"/>
      <c r="G26" s="29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H-B折减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嵩根 方</cp:lastModifiedBy>
  <dcterms:created xsi:type="dcterms:W3CDTF">2015-06-05T18:19:34Z</dcterms:created>
  <dcterms:modified xsi:type="dcterms:W3CDTF">2026-06-30T01:28:18Z</dcterms:modified>
</cp:coreProperties>
</file>